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pedrohvb\Documents\Drafts\OP_analysis\"/>
    </mc:Choice>
  </mc:AlternateContent>
  <xr:revisionPtr revIDLastSave="0" documentId="13_ncr:1_{9AE68F1F-F6F5-4665-B0DA-C16FC4725AC7}" xr6:coauthVersionLast="47" xr6:coauthVersionMax="47" xr10:uidLastSave="{00000000-0000-0000-0000-000000000000}"/>
  <bookViews>
    <workbookView xWindow="28680" yWindow="-120" windowWidth="29040" windowHeight="15840" xr2:uid="{00000000-000D-0000-FFFF-FFFF00000000}"/>
  </bookViews>
  <sheets>
    <sheet name="DADOS" sheetId="1" r:id="rId1"/>
    <sheet name="ANALISE" sheetId="2" r:id="rId2"/>
    <sheet name="TEXTOS" sheetId="3" r:id="rId3"/>
  </sheets>
  <calcPr calcId="191029" refMode="R1C1" iterateCount="0" calcOnSave="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3" l="1" a="1"/>
  <c r="H2" i="3"/>
  <c r="A12" i="2"/>
  <c r="D19" i="2"/>
  <c r="D33" i="2"/>
  <c r="G2" i="3" a="1"/>
  <c r="G2" i="3"/>
  <c r="F2" i="3" a="1"/>
  <c r="F2" i="3"/>
  <c r="E2" i="3" a="1"/>
  <c r="E2" i="3"/>
  <c r="D2" i="3" a="1"/>
  <c r="D11" i="3"/>
  <c r="C2" i="3" a="1"/>
  <c r="C11" i="3"/>
  <c r="B2" i="3" a="1"/>
  <c r="B17" i="3"/>
  <c r="A2" i="3" a="1"/>
  <c r="A17" i="3"/>
  <c r="D35" i="2"/>
  <c r="E34" i="2"/>
  <c r="D34" i="2"/>
  <c r="J33" i="2" a="1"/>
  <c r="J36" i="2"/>
  <c r="E33" i="2"/>
  <c r="D32" i="2"/>
  <c r="D30" i="2"/>
  <c r="D29" i="2"/>
  <c r="D27" i="2"/>
  <c r="D25" i="2"/>
  <c r="D24" i="2"/>
  <c r="D23" i="2"/>
  <c r="D22" i="2"/>
  <c r="D21" i="2"/>
  <c r="D20" i="2"/>
  <c r="AL18" i="2" a="1"/>
  <c r="AL18" i="2"/>
  <c r="AK18" i="2" a="1"/>
  <c r="AK18" i="2"/>
  <c r="AJ18" i="2" a="1"/>
  <c r="AJ18" i="2"/>
  <c r="AI18" i="2" a="1"/>
  <c r="AI18" i="2"/>
  <c r="AH18" i="2" a="1"/>
  <c r="AH18" i="2"/>
  <c r="AG18" i="2" a="1"/>
  <c r="AG18" i="2"/>
  <c r="AF18" i="2" a="1"/>
  <c r="AF18" i="2"/>
  <c r="AE18" i="2" a="1"/>
  <c r="AE18" i="2"/>
  <c r="AD18" i="2" a="1"/>
  <c r="AD18" i="2"/>
  <c r="AC18" i="2" a="1"/>
  <c r="AC18" i="2"/>
  <c r="AB18" i="2" a="1"/>
  <c r="AB18" i="2"/>
  <c r="AA18" i="2" a="1"/>
  <c r="AA18" i="2"/>
  <c r="Z18" i="2" a="1"/>
  <c r="Z18" i="2"/>
  <c r="Y18" i="2" a="1"/>
  <c r="Y18" i="2"/>
  <c r="X18" i="2" a="1"/>
  <c r="X18" i="2"/>
  <c r="D18" i="2"/>
  <c r="AL17" i="2" a="1"/>
  <c r="AL17" i="2"/>
  <c r="AK17" i="2" a="1"/>
  <c r="AK17" i="2"/>
  <c r="AJ17" i="2" a="1"/>
  <c r="AJ17" i="2"/>
  <c r="AI17" i="2" a="1"/>
  <c r="AI17" i="2"/>
  <c r="AH17" i="2" a="1"/>
  <c r="AH17" i="2"/>
  <c r="AG17" i="2" a="1"/>
  <c r="AG17" i="2"/>
  <c r="AF17" i="2" a="1"/>
  <c r="AF17" i="2"/>
  <c r="AE17" i="2" a="1"/>
  <c r="AE17" i="2"/>
  <c r="AD17" i="2" a="1"/>
  <c r="AD17" i="2"/>
  <c r="AC17" i="2" a="1"/>
  <c r="AC17" i="2"/>
  <c r="AB17" i="2" a="1"/>
  <c r="AB17" i="2"/>
  <c r="AA17" i="2" a="1"/>
  <c r="AA17" i="2"/>
  <c r="Z17" i="2" a="1"/>
  <c r="Z17" i="2"/>
  <c r="Y17" i="2" a="1"/>
  <c r="Y17" i="2"/>
  <c r="X17" i="2" a="1"/>
  <c r="X17" i="2"/>
  <c r="D17" i="2"/>
  <c r="AL16" i="2" a="1"/>
  <c r="AL16" i="2"/>
  <c r="AK16" i="2" a="1"/>
  <c r="AK16" i="2"/>
  <c r="AJ16" i="2" a="1"/>
  <c r="AJ16" i="2"/>
  <c r="AI16" i="2" a="1"/>
  <c r="AI16" i="2"/>
  <c r="AH16" i="2" a="1"/>
  <c r="AH16" i="2"/>
  <c r="AG16" i="2" a="1"/>
  <c r="AG16" i="2"/>
  <c r="AF16" i="2" a="1"/>
  <c r="AF16" i="2"/>
  <c r="AE16" i="2" a="1"/>
  <c r="AE16" i="2"/>
  <c r="AD16" i="2" a="1"/>
  <c r="AD16" i="2"/>
  <c r="AC16" i="2" a="1"/>
  <c r="AC16" i="2"/>
  <c r="AB16" i="2" a="1"/>
  <c r="AB16" i="2"/>
  <c r="AA16" i="2" a="1"/>
  <c r="AA16" i="2"/>
  <c r="Z16" i="2" a="1"/>
  <c r="Z16" i="2"/>
  <c r="Y16" i="2" a="1"/>
  <c r="Y16" i="2"/>
  <c r="X16" i="2" a="1"/>
  <c r="X16" i="2"/>
  <c r="D16" i="2"/>
  <c r="AL15" i="2" a="1"/>
  <c r="AL15" i="2"/>
  <c r="AK15" i="2" a="1"/>
  <c r="AK15" i="2"/>
  <c r="AJ15" i="2" a="1"/>
  <c r="AJ15" i="2"/>
  <c r="AI15" i="2" a="1"/>
  <c r="AI15" i="2"/>
  <c r="AH15" i="2" a="1"/>
  <c r="AH15" i="2"/>
  <c r="AG15" i="2" a="1"/>
  <c r="AG15" i="2"/>
  <c r="AF15" i="2" a="1"/>
  <c r="AF15" i="2"/>
  <c r="AE15" i="2" a="1"/>
  <c r="AE15" i="2"/>
  <c r="AD15" i="2" a="1"/>
  <c r="AD15" i="2"/>
  <c r="AC15" i="2" a="1"/>
  <c r="AC15" i="2"/>
  <c r="AB15" i="2" a="1"/>
  <c r="AB15" i="2"/>
  <c r="AA15" i="2" a="1"/>
  <c r="AA15" i="2"/>
  <c r="Z15" i="2" a="1"/>
  <c r="Z15" i="2"/>
  <c r="Y15" i="2" a="1"/>
  <c r="Y15" i="2"/>
  <c r="X15" i="2" a="1"/>
  <c r="X15" i="2"/>
  <c r="D15" i="2"/>
  <c r="X14" i="2" a="1"/>
  <c r="AL14" i="2"/>
  <c r="D14" i="2"/>
  <c r="D13" i="2"/>
  <c r="D12" i="2"/>
  <c r="B10" i="2"/>
  <c r="B9" i="2"/>
  <c r="B8" i="2"/>
  <c r="B6" i="2"/>
  <c r="B5" i="2"/>
  <c r="A2" i="2"/>
  <c r="W1" i="2"/>
  <c r="AA14" i="2"/>
  <c r="AB14" i="2"/>
  <c r="AC14" i="2"/>
  <c r="AH14" i="2"/>
  <c r="X14" i="2"/>
  <c r="A4" i="3"/>
  <c r="A10" i="3"/>
  <c r="B6" i="3"/>
  <c r="C4" i="3"/>
  <c r="D6" i="3"/>
  <c r="A12" i="3"/>
  <c r="B10" i="3"/>
  <c r="C6" i="3"/>
  <c r="D10" i="3"/>
  <c r="AG14" i="2"/>
  <c r="A16" i="3"/>
  <c r="B12" i="3"/>
  <c r="C10" i="3"/>
  <c r="D12" i="3"/>
  <c r="A18" i="3"/>
  <c r="B16" i="3"/>
  <c r="C12" i="3"/>
  <c r="AI14" i="2"/>
  <c r="B18" i="3"/>
  <c r="A6" i="3"/>
  <c r="B4" i="3"/>
  <c r="D4" i="3"/>
  <c r="K33" i="2"/>
  <c r="K36" i="2"/>
  <c r="A2" i="3"/>
  <c r="A7" i="3"/>
  <c r="A13" i="3"/>
  <c r="B2" i="3"/>
  <c r="B7" i="3"/>
  <c r="B13" i="3"/>
  <c r="C2" i="3"/>
  <c r="C7" i="3"/>
  <c r="D2" i="3"/>
  <c r="D7" i="3"/>
  <c r="J34" i="2"/>
  <c r="J37" i="2"/>
  <c r="A8" i="3"/>
  <c r="A14" i="3"/>
  <c r="B8" i="3"/>
  <c r="B14" i="3"/>
  <c r="C8" i="3"/>
  <c r="D8" i="3"/>
  <c r="K34" i="2"/>
  <c r="K37" i="2"/>
  <c r="A3" i="3"/>
  <c r="A9" i="3"/>
  <c r="A15" i="3"/>
  <c r="B3" i="3"/>
  <c r="B9" i="3"/>
  <c r="B15" i="3"/>
  <c r="C3" i="3"/>
  <c r="C9" i="3"/>
  <c r="D3" i="3"/>
  <c r="D9" i="3"/>
  <c r="Y14" i="2"/>
  <c r="AE14" i="2"/>
  <c r="AK14" i="2"/>
  <c r="J35" i="2"/>
  <c r="AD14" i="2"/>
  <c r="AJ14" i="2"/>
  <c r="Z14" i="2"/>
  <c r="AF14" i="2"/>
  <c r="J33" i="2"/>
  <c r="K35" i="2"/>
  <c r="A5" i="3"/>
  <c r="A11" i="3"/>
  <c r="B5" i="3"/>
  <c r="B11" i="3"/>
  <c r="C5" i="3"/>
  <c r="D5"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<sst xmlns="http://schemas.openxmlformats.org/spreadsheetml/2006/main" count="2320" uniqueCount="1256">
  <si>
    <t>Material</t>
  </si>
  <si>
    <t>pre-analise</t>
  </si>
  <si>
    <t>Dias em OP</t>
  </si>
  <si>
    <t>Txt.brv.material</t>
  </si>
  <si>
    <t>Tipo de MRP</t>
  </si>
  <si>
    <t>Ponto reabastec.</t>
  </si>
  <si>
    <t>Estoque máximo</t>
  </si>
  <si>
    <t>PR sug</t>
  </si>
  <si>
    <t>MAX sug</t>
  </si>
  <si>
    <t>impacto $</t>
  </si>
  <si>
    <t>Prz.entrg.prev.</t>
  </si>
  <si>
    <t>Sld. Virtual</t>
  </si>
  <si>
    <t>Image</t>
  </si>
  <si>
    <t>Planejador MRP</t>
  </si>
  <si>
    <t>Grupo de mercadorias</t>
  </si>
  <si>
    <t>Grupo MRP</t>
  </si>
  <si>
    <t>Criticidade</t>
  </si>
  <si>
    <t>Classificação</t>
  </si>
  <si>
    <t>Nº peça fabricante</t>
  </si>
  <si>
    <t>outliers</t>
  </si>
  <si>
    <t>Valor Total</t>
  </si>
  <si>
    <t>Qtd.ordem planejada</t>
  </si>
  <si>
    <t>Preço Unit.</t>
  </si>
  <si>
    <t>Dt. Ult. Pedido</t>
  </si>
  <si>
    <t>tendencia</t>
  </si>
  <si>
    <t>1 LTD</t>
  </si>
  <si>
    <t>2 LTD</t>
  </si>
  <si>
    <t>3 LTD</t>
  </si>
  <si>
    <t>4 LTD</t>
  </si>
  <si>
    <t>5 LTD</t>
  </si>
  <si>
    <t>6 LTD</t>
  </si>
  <si>
    <t>7 LTD</t>
  </si>
  <si>
    <t>8 LTD</t>
  </si>
  <si>
    <t>9 LTD</t>
  </si>
  <si>
    <t>10 LTD</t>
  </si>
  <si>
    <t>11 LTD</t>
  </si>
  <si>
    <t>12 LTD</t>
  </si>
  <si>
    <t>13 LTD</t>
  </si>
  <si>
    <t>14 LTD</t>
  </si>
  <si>
    <t>15 LTD</t>
  </si>
  <si>
    <t>reservas_por_ceco</t>
  </si>
  <si>
    <t>Qtd. RTP1</t>
  </si>
  <si>
    <t>Qtd. RTP3</t>
  </si>
  <si>
    <t>Qtd. RTP6</t>
  </si>
  <si>
    <t>Qtd. LMR</t>
  </si>
  <si>
    <t>Volume da OP</t>
  </si>
  <si>
    <t>Setor de atividade</t>
  </si>
  <si>
    <t>TMD</t>
  </si>
  <si>
    <t>CV</t>
  </si>
  <si>
    <t>Dem. Pro.</t>
  </si>
  <si>
    <t>Fornecedor</t>
  </si>
  <si>
    <t>Nome</t>
  </si>
  <si>
    <t>Qtd. Pedido</t>
  </si>
  <si>
    <t>Qtd. Requisição</t>
  </si>
  <si>
    <t>Texto - pt</t>
  </si>
  <si>
    <t>Texto - es</t>
  </si>
  <si>
    <t>Texto OBS - pt</t>
  </si>
  <si>
    <t>Texto OBS - es</t>
  </si>
  <si>
    <t>Texto DB - pt</t>
  </si>
  <si>
    <t>Texto DB - es</t>
  </si>
  <si>
    <t>Texto REF LMR</t>
  </si>
  <si>
    <t>analise</t>
  </si>
  <si>
    <t>327905</t>
  </si>
  <si>
    <t xml:space="preserve">| Volume da OP alto, considerar entrega parcelada
| Sugestao PR=486.0
| Sugestao MAX=1783.0
| Verificar reserva
</t>
  </si>
  <si>
    <t>ELETRODUTO RIG ACO/ZQ NPT 2"</t>
  </si>
  <si>
    <t>ZP</t>
  </si>
  <si>
    <t>P:\Mfotos\Padronizadas\327905(A).jpg</t>
  </si>
  <si>
    <t>U13</t>
  </si>
  <si>
    <t>39030284</t>
  </si>
  <si>
    <t>ZSTK</t>
  </si>
  <si>
    <t>Suave</t>
  </si>
  <si>
    <t>nan</t>
  </si>
  <si>
    <t>[937.0]</t>
  </si>
  <si>
    <t>tendencia de Alta</t>
  </si>
  <si>
    <t>30412 3574.0
30312 126.0
71331 75.0
30314 45.0
50141 33.0</t>
  </si>
  <si>
    <t>31</t>
  </si>
  <si>
    <t>3028.0</t>
  </si>
  <si>
    <t>JAV AUTOMACAO INDUSTRIAL LTDA</t>
  </si>
  <si>
    <t>ELETRODUTO RIGIDO METALICO;
TIPO PESADO;
TIPO CONSTRUTIVO COM COSTURA, REBARBA REMOVIDA,
(ISENTO DE REBARBAS);
EXTREMIDADES ROSCADAS;
TIPO DE ROSCA NPT;
FORNECIMENTO COM UMA LUVA EM UMA PONTA;
MATERIAL ACO CARBONO;
ACABAMENTO SUPERFICIAL ZINCADO A QUENTE;
DIAMETRO NOMINAL 50 (2");
DIAMETRO EXTERNO 60,3 mm;
ESPESSURA NOMINAL DA PAREDE 3,35 mm;
PESO TEORICO SEM LUVA 4,812 Kg/m;
COMPRIMENTO 3 m;
NORMAS TECNICAS APLICAVEIS ABNT NBR 5597.</t>
  </si>
  <si>
    <t>ELECTRODUCTO RIGIDO METALICO;
TIPO PESADO;
TIPO CONSTRUCTIVO CON COSTURA, REBARBA REMOVIDA,
(EXENTO DE REBARBAS);
EXTREMO(S) A ROSCAS;
TIPO DE LA ROSCA NPT;
SUMISTRADO CON UNA UNION EN UNA PUNTA;
MATERIAL ACERO CARBONO;
ACABADO SUPERFICIAL CINCADO A FUEGO;
DIAMETRO NOMINAL 50 (2");
DIAMETRO EXTERNO 60,3 mm;
ESPESOR NOMINAL DE LA PARED 3,35 mm;
PESO TEORICO SIN UNION 4,812 Kg/m;
LARGO 3 m;
NORMAS TECNICAS APLICABLES ABNT NBR 5597.</t>
  </si>
  <si>
    <t>Os eletrodutos serão inspecionados de acordo com a NBR 5597: 2013,
seguindo os seguintes requisitos:
- A superfície interna dos tubos deve estar livre de arestas cortantes,
o que pode danificar o isolamento do condutor.
- A espessura mínima da parede deve ser medida de acordo com o item
4.5.2.
- O diâmetro externo será medido com variações admitidas conforme item
4.5.3 tabela 2.
- Será feita a pesagem da massa de acordo com a tabela 1 (item 4.5 =
4,812 Kg/m),
serão admitidas variações, por menos de 10%, não sendo limitada a
variação por mais.</t>
  </si>
  <si>
    <t>Los conductos serán inspeccionados de acuerdo con NBR 5597: 2013,
siguiendo los siguientes requisitos:
- La superficie interna de los tubos no debe tener bordes afilados.
que puede dañar el aislamiento del conductor.
- El espesor mínimo de la pared debe medirse según el artículo.
4.5.2
- El diámetro exterior se medirá con variaciones permitidas según el
artículo.
4.5.3 tabla 2.
- La masa se pesará de acuerdo con la tabla 1 (elemento 4.5 =
4,812 Kg/m), se admitirán variaciones, en menos del 10%, sin limitarse a
variación para más.</t>
  </si>
  <si>
    <t>680249</t>
  </si>
  <si>
    <t xml:space="preserve">| Sugestao PR=200.0
| Sugestao MAX=534.0
| Verificar reserva
</t>
  </si>
  <si>
    <t>BATERIA ELET RETANG 5AH 12V</t>
  </si>
  <si>
    <t>ZM</t>
  </si>
  <si>
    <t>P:\Mfotos\Padronizadas\680249(A).jpg</t>
  </si>
  <si>
    <t>S22</t>
  </si>
  <si>
    <t>26010204</t>
  </si>
  <si>
    <t>Intermitente</t>
  </si>
  <si>
    <t>GB12-5 - GLOBAL (COM TERMINAIS FASTON F2</t>
  </si>
  <si>
    <t>[]</t>
  </si>
  <si>
    <t>Estavel</t>
  </si>
  <si>
    <t>50141 880.0
30324 120.0
30313 2.0</t>
  </si>
  <si>
    <t>25303.0</t>
  </si>
  <si>
    <t>LCPAR IMPORTACAO E EXPORTACAO LTDA</t>
  </si>
  <si>
    <t>BATERIA, ESTACIONARIA;
TIPO VRLA AGM OU GEL;
CAPACIDADE (C20) 5 Ah;
TENSAO NOMINAL 12 Vcc;
ALTURA TOTAL MAXIMA 107 mm;
COMPRIMENTO MAXIMO 90 mm;
LARGURA MAXIMA 70 mm;
TIPO DE CONEXAO FASTON F2 (LARGURA 6,35mm).</t>
  </si>
  <si>
    <t>BATERIA, ESTACIONARIA;
TIPO VRLA AGM O GEL;
CAPACIDAD (C20) 5 Ah;
TENSION NOMINAL 12 Vcc;
ALTURA TOTAL MAXIMA 107 mm;
LARGO MAXIMO 90 mm;
ANCHO MAXIMO 70 mm;
TIPO DE CONEXION FASTON F2 (ANCHO 6,35mm).</t>
  </si>
  <si>
    <t>Referência:
GB12-5 - GLOBAL (com terminais faston F2)
CSB 12V-05AH HR1221W (com terminais faston F2)
Tolerância:
Capacidade(C20) 5Ah (+0,5);
Material com requisitos de compras sustentáveis.</t>
  </si>
  <si>
    <t>Referencia:
GB12-5 - GLOBAL (coN terminales faston F2)
CSB 12V-05AH HR1221W (treminal F2)
Tolerancia:
Capacidade(C20) 5Ah (+0,5);
Material con requisitos de compras sustentables.</t>
  </si>
  <si>
    <t>SUBSTITUTO - GB12-5 - GLOBAL (GLOBALBAT)
ORIGINAL - - - -</t>
  </si>
  <si>
    <t xml:space="preserve">| Apenas consumo zero
</t>
  </si>
  <si>
    <t>S21</t>
  </si>
  <si>
    <t>39030307</t>
  </si>
  <si>
    <t>Apenas consumo zero</t>
  </si>
  <si>
    <t>Empty DataFrame
Columns: [Centro custo, Qtd.retirada]
Index: []</t>
  </si>
  <si>
    <t>245801</t>
  </si>
  <si>
    <t xml:space="preserve">| Alterar para ZM
| Sugestao PR=623.0
| Sugestao MAX=1662.0
| Verificar reserva
</t>
  </si>
  <si>
    <t>ELETRODUTO RIG ACO/ZQ NPT 1.1/2"</t>
  </si>
  <si>
    <t>P:\Mfotos\Padronizadas\245801(A).jpg</t>
  </si>
  <si>
    <t>[1776.0]</t>
  </si>
  <si>
    <t>30412 1775.0
72423 1200.0
30314 90.0
71423 54.0
50141 45.0</t>
  </si>
  <si>
    <t>25022.0</t>
  </si>
  <si>
    <t>DIMENSIONAL BRASIL SOLUCOES LTDA</t>
  </si>
  <si>
    <t>ELETRODUTO;
ACO;
PROTECAO SUPERFICIAL ZINCADO A QUENTE;
TIPO PESADO;
ACABAMENTO INTERNO ISENTO DE REBARBAS;
EXTREMIDADE(S) ROSCADAS COM UMA LUVA;
ROSCA NPT;
DIAMETRO NOMINAL 1.1/2 POLEGADA;
ESPESSURA DA PAREDE 3 mm;
COMPRIMENTO 3 m;
NORMA TECNICA APLICAVEL NBR 5597.</t>
  </si>
  <si>
    <t>ELECTRODUCTO;
ACERO;
PROTECCION SUPERFICIAL CINCADO A FUEGO;
TIPO PESADO;
ACABADO INTERNO EXENTO DE REBARBAS;
EXTREMIDAD(ES) A ROSCAS CON UNA UNION;
ROSCA NPT;
DIAMETRO NOMINAL 1.1/2 PULGADA;
ESPESOR DE LA PARED 3 mm;
LARGO 3 m;
NORMA TECNICA APLICABLE NBR 5597.</t>
  </si>
  <si>
    <t>Antes de transportar o eletroduto à Itaipu,
Deverá informar por e.mail ao gestor o peso médio do eletroduto.
Os eletrodutos serão inspecionados de acordo com a NBR 5597: 2013,
seguindo os seguintes requisitos:
Os eletrodutos serão inspecionados de acordo com a NBR 5597: 2013,
seguindo os seguintes requisitos:
- A superfície interna dos tubos deve estar livre de arestas cortantes,
o que pode danificar o isolamento do condutor.
- A espessura mínima da parede deve ser medida de acordo com o item
4.5.2.
- O diâmetro externo será medido com variações admitidas conforme item
4.5.3 tabela 2.
- Será feita a pesagem da massa de acordo com a tabela 1 (item 4.5 =
3,437 Kg/m), serão admitidas variações, por menos de 10%, não sendo
limitada a variação por mais.</t>
  </si>
  <si>
    <t>Antes de transportar el electorduto a la Itaipu,
Deberá informar al gestor por correo el peso promedio del electroduto.
Los conductos serán inspeccionados de acuerdo con NBR 5597: 2013,
siguiendo los siguientes requisitos:
Los conductos serán inspeccionados de acuerdo con NBR 5597: 2013,
siguiendo los siguientes requisitos:
- La superficie interna de los tubos no debe tener bordes afilados.
que puede dañar el aislamiento del conductor.
- El espesor mínimo de la pared debe medirse según el artículo.
4.5.2
- El diámetro exterior se medirá con variaciones permitidas según el
artículo.
4.5.3 tabla 2.
- La masa se pesará de acuerdo con la tabla 1 (elemento 4.5 =
3,437 Kg/m), se admitirán variaciones, en menos del 10%, sin limitarse a
variación para más.</t>
  </si>
  <si>
    <t>39030243</t>
  </si>
  <si>
    <t>S23</t>
  </si>
  <si>
    <t>39030201</t>
  </si>
  <si>
    <t>Esporádico</t>
  </si>
  <si>
    <t>39040101</t>
  </si>
  <si>
    <t>-</t>
  </si>
  <si>
    <t>2711.0</t>
  </si>
  <si>
    <t>COMERCIAL ELÉTRICA DZ LTDA.</t>
  </si>
  <si>
    <t>| Sem LMR, Revisar descritivo ou encontrar referencia atualizada</t>
  </si>
  <si>
    <t>ZE</t>
  </si>
  <si>
    <t>FRAC</t>
  </si>
  <si>
    <t>713027</t>
  </si>
  <si>
    <t xml:space="preserve">| Sugestao PR=179.0
| Sugestao MAX=453.0
</t>
  </si>
  <si>
    <t>LAMPADA LED BULBO 70W 127/220V 6500K E40</t>
  </si>
  <si>
    <t>P:\Mfotos\Padronizadas\713027(A).jpg</t>
  </si>
  <si>
    <t>39010208</t>
  </si>
  <si>
    <t>AL70364 - EMPALUX</t>
  </si>
  <si>
    <t>71423 305.0
51524 280.0
52524 121.0
71332 113.0
51515 20.0</t>
  </si>
  <si>
    <t>7211.0</t>
  </si>
  <si>
    <t>LUZVILLE ENGENHARIA LTDA</t>
  </si>
  <si>
    <t>LAMPADA LED, ILUMINACAO;
TIPO BULBO;
TIPO DE BULBO T140;
NAO REGULAVEL POR DIMMER;
MATERIAL DA CAPA LEITOSO;
VIDA UTIL MINIMA 25000 h;
DRIVE INTEGRADO;
INDICE REPRODUCAO DE COR (IRC) &gt;80;
TEMPERATURA DE COR 5000 K - 6500k;
FLUXO LUMINOSO MINIMO 7000 lm;
EFICIENCIA MINIMA 100 lm/W;
POTENCIA MAXIMA 70 W;
TENSAO NOMINAL ALIMENTACAO 127/220 Vca;
FREQUENCIA 50/60 Hz;
FATOR DE POTENCIA &gt;0,92;
ANGULO FACHO LUMINOSO 210 - 230 grau;
BASE E-40;
DIAMETRO MAXIMO 140 mm;
COMPRIMENTO TOTAL MAXIMO 250 mm;
NORMA TECNICA APLICAVEL ABNT IEC/PAS 62612.</t>
  </si>
  <si>
    <t>LAMPARA LED, ILUMINACION;
TIPO AMPOLLA;
TIPO DE AMPOLLA T140;
NO REGULABLE POR DIMMER;
MATERIAL DE LA CAPA LECHOSO;
VIDA UTIL MINIMA 25000 h;
DRIVE INTEGRADO;
INDICE REPRODUCION CROMATICA (IRC) &gt;80;
TEMPERATURA DE COLOR 5000 K - 6500k;
FLUJO LUMINOSO MINIMO 7000 lm;
EFICIENCIA MINIMA 100 lm/W;
POTENCIA MAXIMA 70 W;
TENSION NOMINAL ALIMENTACION 127/220 Vca;
FRECUENCIA 50/60 Hz;
FATOR DE POTENCIA &gt;0,92;
ANGULO ALCANCE LUMINOSO 210 - 230 grados;
BASE E-40;
DIAMETRO MAXIMO 140 mm;
LARGO TOTAL MAXIMO 250 mm;
CONFORME NORMA(S) TECNICA(S) ABNT IEC/PAS 62612;</t>
  </si>
  <si>
    <t>REF
AL70364 - EMPALUX
COM REQUISITOS DE COMPRAS SUSTENTAVEIS</t>
  </si>
  <si>
    <t>REF
AL70364 - EMPALUX
CON REQUISITOS DE COMPRAS SUSTENTABLES</t>
  </si>
  <si>
    <t>714147</t>
  </si>
  <si>
    <t xml:space="preserve">| Sugestao PR=1
</t>
  </si>
  <si>
    <t>DISJUNTOR TERMOMAG 3P 690V 11-16A</t>
  </si>
  <si>
    <t>P:\Mfotos\Padronizadas\714147(A).jpg</t>
  </si>
  <si>
    <t>39040103</t>
  </si>
  <si>
    <t>3RV2421-4AA10 - SIEMENS</t>
  </si>
  <si>
    <t>30314 3.0
30315 1.0</t>
  </si>
  <si>
    <t>26043.0</t>
  </si>
  <si>
    <t>G M R EQUIPAMENTOS ELETRICOS LTDA</t>
  </si>
  <si>
    <t>DISJUNTOR;
TIPO NAO EXTRAIVEL;
PARA TRANSFORMADOR;
TIPO DO DISPARADOR TERMOMAGNETICO;
NUMERO DE POLOS 3;
CARACTERISTICAS DE OPERACAO MANUAL;
TIPO DE ACIONAMENTO PUNHO ROTATIVO;
TIPO DE CONEXAO PARAFUSO;
TENSAO DE ISOLAMENTO 690 V;
CORRENTE NOMINAL 16 A;
CAPACIDADE INTERRUP-Icu 690Vca 4 kA;
ELEMENTO TERMICO AJUSTAVEL 11 - 16 A;
ELEMENTO MAGNETICO FIXO;
DISPARO ELEMENTO MAGNETICO 286 A;
FIXACAO POR PARAFUSO, TRILHO DIN 35 mm;
ALTURA 97 mm;
LARGURA 45 mm;
PROFUNDIDADE 97 mm;
NORMAS TECNICAS APLICAVEIS ABNT NBR IEC 60947-2;
REFERENCIA 3RV2421-4AA10;
FABRICANTE SIEMENS.</t>
  </si>
  <si>
    <t>DISYUNTOR;
TIPO NO EXTRAIBLE;
PARA TRANSFORMADOR;
TIPO DEL DISPARADOR TERMOMAGNETICO;
NUMERO DE POLOS 3;
CARACTERISTICAS DE OPERACION MANUAL;
TIPO DE ACCIONAMIENTO PUNO ROTATIVO;
TIPO DE CONEXION TORNILLO;
TENSION DE AISLAMIENTO 690 V;
CORRIENTE NOMINAL 16 A;
CAPACIDAD INTERRUP-Icu 690 Vca 4 kA;
ELEMENTO TERMICO AJUSTABLE 11 - 16 A;
ELEMENTO MAGNETICO FIJO;
DISPARO ELEMENTO MAGNETICO 286 A;
FIJACION POR TORNILLO, RIEL DIN 35 mm;
ALTURA 97 mm;
ANCHO 45 mm;
PROFUNDIDAD 97 mm;
NORMAS TECNICAS APLICABLES ABNT NBR IEC 60947-2;
REFERENCIA 3RV2421-4AA10;
FABRICANTE SIEMENS.</t>
  </si>
  <si>
    <t>Faz-se necessária a aquisição deste material na
marca e modelo indicado, pois o mesmo além de atender
todos os requisitos técnicos e dimensionais
necessários, mantém o mesmo padrão de disjuntores
já adquiridos por ITAIPU Binacional
(Processo de Licitação Binacional AF 0568/16 - Ordens
de Compra 4500038565, 4500038566 e 4500038985)
para os quadros de distribuição do Sistema de
Ventilação (quadros KG). Dadas as condições expostas,
não é possível a aquisição/utilização de material
de outras marcas/modelos.</t>
  </si>
  <si>
    <t>Es necesario adquirir este material en la
marca y modelo indicado, debido a que el mismo atiende
todos los requisitos técnicos y dimensionales
necesarios y mantiene el mismo padrón de disyuntores
ya adquiridos por ITAIPU Binacional
(Proceso de Licitación 0568/16 - Órdenes de Compra
4500038565, 4500038566 e 4500038985) para los
tableros de distribución del Sistema de Ventilación
(tableros KG). Dada las condiciones expuestas,
no es posible la adquisición/utilización de
material de otras marcas/modelos.</t>
  </si>
  <si>
    <t>478881</t>
  </si>
  <si>
    <t xml:space="preserve">| Sugestao PR=7.0
| Sugestao MAX=25.0
</t>
  </si>
  <si>
    <t>TENSOR GANC-OLH 350KGF 200MM 1/2"</t>
  </si>
  <si>
    <t>P:\Mfotos\Padronizadas\478881(A).jpg</t>
  </si>
  <si>
    <t>26030328</t>
  </si>
  <si>
    <t>35.76.012.00(1/2"-12,7MM) - VONDER</t>
  </si>
  <si>
    <t>tendencia de Baixa</t>
  </si>
  <si>
    <t>71332 10.0
71423 6.0
30314 1.0</t>
  </si>
  <si>
    <t>TENSOR;
TIPO GANCHO-OLHAL;
PARA CABO DE ACO 1/2 POLEGADA;
MATERIAL ACO CARBONO;
PROTECAO SUPERFICIAL GALVANIZADO OU ZINCADO A QUENTE;
CARGA DE RUPTURA MINIMO 1050 kgf;
CARGA DE TRABALHO MINIMO 350 kgf;
ABERTURA DO GANCHO MINIMO 17 mm;
DIAMETRO INTERNO DO OLHAL MINIMO 18 mm;
DIAMETRO SECAO TRANSVERSAL DO OLHAL MINIMO 8 mm;
COMPRIMENTO DO CORPO MINIMO 150 mm;
COMPRIMENTO DO CORMPO MAXIMO 200 mm;</t>
  </si>
  <si>
    <t>TENSOR;
GANCHO OJAL;
PARA CABLE DE ACERO 1/2 PULGADA;
MATERIAL ACERO CARBONO;
PROTECCION SUPERFICIAL GALVANIZADO O CINCADO A FUEGO;
CARGA DE RUPTURA MINIMO 1050 kgf;
CARGA DE TRABAJO MINIMO 350 kgf;
ABERTURA DEL GANCHO MINIMA 17 mm;
DIAMETRO INTERNO DEL OJAL MINIMO 18 mm;
DIAMETRO SECCION TRANSVERSAL OJAL MINIMO 8 mm;
LARGO DEL CUERPO MINIMO 150 mm;
LARGO DEL CUERPO MAXIMO 200 mm;</t>
  </si>
  <si>
    <t>REFERENCIA:
35.76.012.000(1/2"-12,7mm) - VONDER
GXO 13-152 (GANCHOxOLHAL) - CABOPEC
O/G EST-13 (OLHAL/GANCHO) - COFORJA
Obsercações:
A referência 35.76.200.120 - vonder possui
dimensional e resistencia menores que o solicitado.</t>
  </si>
  <si>
    <t>REFERENCIA:
35.76.012.000(1/2"-12,7mm) - VONDER
GXO 13-152 (GANCHOxOLHAL) - CABOPEC
O/G EST-13 (OLHAL/GANCHO) - COFORJA
Nota:
La referencia 35.76.200.120 - vonder tiene
menor dimensional y resistencia de lo solicitado.</t>
  </si>
  <si>
    <t>S25</t>
  </si>
  <si>
    <t>30314 1.0</t>
  </si>
  <si>
    <t>970.0</t>
  </si>
  <si>
    <t>MRPR AUTOMACAO LTDA</t>
  </si>
  <si>
    <t>101061.0</t>
  </si>
  <si>
    <t>SUMINISTROS &amp; MONTAJES S.R.L.</t>
  </si>
  <si>
    <t>714176</t>
  </si>
  <si>
    <t>Material para ANALISE</t>
  </si>
  <si>
    <t>LUMINARIA LED CIRC HIGHBAY 23000/26000lm</t>
  </si>
  <si>
    <t>P:\Mfotos\Padronizadas\714176(A).jpg</t>
  </si>
  <si>
    <t>39010218</t>
  </si>
  <si>
    <t>ANA</t>
  </si>
  <si>
    <t>30314 337.0
30315 91.0
52524 34.0
30412 15.0</t>
  </si>
  <si>
    <t>LUMINARIA, LED;
TIPO HIGHBAY;
FORMATO CIRCULAR;
MATERIAL DO CORPO ALUMINIO;
DRIVE INTEGRADO;
DIMERIZAVEL PADRAO 0-10V;
INDICE REPRODUCAO DE COR (IRC) &gt;80;
TEMPERATURA DE COR 4.000 K;
FLUXO LUMINOSO 23000 - 26000 lm;
EFICIENCIA LUMINOSA MINIMA 110 lm/W;
TENSAO NOMINAL ALIMENTACAO 220 V;
FREQUENCIA 50/60 HZ;
FATOR DE POTENCIA ≥ 0,95;
ANGULO FACHO LUMINOSO 60 - 90 graus;
GRAU DE PROTECAO ≥ IP-65;
PROTECAO CONTRA IMPACTOS MINIMO IK07;
FIXACAO BRACO "U", DISTANCIA ENTRE FUROS DE, FIXACAO
DO BRACO U ENTRE, 310 E 340 MM;
VIDA UTIL L70B50 ≥ 50.000 H;
DIAMETRO EXTERNO ≤ 530 mm;
ALTURA ≤ 165 MM.</t>
  </si>
  <si>
    <t>LUMINARIA, LED;
TIPO HIGHBAY;
FORMATO CIRCULAR;
MATERIAL DEL CUERPO ALUMINIO;
DRIVE INTEGRADO;
AJUSTABLE ESTANDAR 0-10V;
INDICE REPROD CROMATICA (IRC) &gt;80;
TEMPERATURA DEL COLOR 4.000 K;
FLUJO LUMINOSO 23000 - 26000 lm;
EFICIENCIA LUMINOSA MINIMA 110 lm/W;
TENSION NOMINAL ALIMENTACION 220 V;
FRECUENCIA NOMINAL 50/60 Hz;
FACTOR DE POTENCIA ≥ 0,95;
ANGULO ALCANCE LUMINOSO 60 - 90 grados;
GRADO DE PROTECCION ≥ IP-65;
PROTECCION CONTRA IMPACTOS MINIMO IK07;
FIJACION BRAZO "U",
DISTANCIA ENTRE AGUJEROS DE FIJACION
DEL BRAZO U ENTRE 310 E 340 MM;
VIDA UTIL L70B50 ≥ 50.000 h;
DIAMETRO EXTERNO ≤ 530 mm;
ALTURA ≤ 165 mm.</t>
  </si>
  <si>
    <t>REFERENCIAS SUGERIDAS:
SX LIGHTING - LIH200
FUJING LIGHT - IL-200W-G02
====================================================
Será aceito adaptador para a extensão do braço de fixação.
Imagen ilustrativa en DMS
=====================================================
O material deve ter garantia mínima de 3 anos
pelo fabricante.</t>
  </si>
  <si>
    <t>REFERENCIA SUGERIDA:
SX LIGHTING - LIH200
FUJING LIGHT - IL-200W-G02
====================================================
Se aceptará un adaptador para la extensión del brazo de fijación.
====================================================
El material deve tener garantía mínima de 3 años
por el fabricante.</t>
  </si>
  <si>
    <t>647020</t>
  </si>
  <si>
    <t xml:space="preserve">| Alterar para ZP, CMM = 494.0
</t>
  </si>
  <si>
    <t>ELETRODUTO FLEX PEAD CORRU DE 63MM(2")</t>
  </si>
  <si>
    <t>P:\Mfotos\Padronizadas\647020(A).jpg</t>
  </si>
  <si>
    <t>39030239</t>
  </si>
  <si>
    <t>KANALEX - KANAFLEX</t>
  </si>
  <si>
    <t>30412 4730.0
72423 4090.0
71423 1053.0
72424 327.0
52630 160.0</t>
  </si>
  <si>
    <t>ELETRODUTO, FLEXIVEL;
TIPO CORRUGADO ESPIRALADO (HELICOIDAL);
PARA PROTECAO DE CABOS DE ENERGIA E
TELECOMUNICACOES;
MATERIAL POLIETILENO ALTA DENSIDADE (PEAD);
PREPARADO A PARTIR DE MATERIA-PRIMA VIRGEM,
NAO SENDO ADIMITIDO MATERIAL REAPROVEITADO;
COR PRETA;
FIO GUIA DE ACO GALVANIZADO
REVESTIDO COM PVC OU PEAD
NO INTERIOR DO DUTO;
CAPACIDADE TRACAO FIO GUIA ≥50KGF;
TERMINAL(IS) TAMPAO/TERMINAL EM AMBAS AS PONTAS;
DIAMETRO EXTERNO NOMINAL (DE) 63 mm;
DIAMETRO INTERNO NOMINAL 2";
DIAMETRO INTERNO MEDIO MINIMO 49 mm;
DIAMETRO EXTERNO MEDIO 63 mm (± 2 mm);
RESISTENCIA A COMPRESSAO DIAMETRAL NORMAL 680 N;
DOBRAMENTO E IMPACTO METODOLOGIA NBR 15715;
RESISTENCIA A DEGRADACAO, COM INDICE MINIMO DE
20 MIN NO TESTE DE OIT METODOLOGIA NBR 14692;
INDICE DE FLUIDEZ MENOR OU IGUAL A 1,75G/10MIN
METODOLOGIA NBR 9023;
NEGRO-DE-FUMO COM PIGMENTACAO MEDIA DE 2,5% (+/-0,5%);
TEOR DE CINZAS MAXIMO DE 0,2%;
EMBALAGEM ROLO;
CAPACIDADE DA EMBALAGEM 100M;
COM FITA DE AVISO "PERIGO";
NORMA TECNICA APLICAVEL ABNT NBR 15715;</t>
  </si>
  <si>
    <t>ELECTRODUCTO, FLEXIBLE;
TIPO CORRUGADO EM ESPIRAL (HELICOIDAL);
PARA PROTECCION DE CABLES ELECTRICOS Y
TELECOMUNICACIONES;
MATERIAL POLIETILENO DE ALTA DENSIDAD (PEAD);
PREPARADO A PARTIR DE MATERIA-PRIMA VIRGEN
NO SE PERMITE MATERIAL REUTILIZADO;
COLOR NEGRO;
HILO GUIA DE ACERO GALVANIZADO
REVESTIDO COM PVC O PEAD
EN EL INTERIOR DEL DUCTO;
CAPACIDAD TRACCION HILO GUIA ≥ 50 kgf;
TERMINALES TAPA/TERMINAL EN AMBAS PUNTAS;
DIAMETRO EXTERNO NOMINAL (DE) 63 mm;
DIAMETRO INTERNO NOMINAL 2";
DIAMETRO INTERNO MEDIO MINIMO 49 mm;
DIAMETRO EXTERNO MEDIO 63 mm (± 2 mm);
RESISTENCIA A LA COMPRESIÓN DE DIÁMETRO NORMAL 680 N;
METODOLOGIA DE PLEGADO E IMPACTO NBR 15715;
RESISTENCIA A LA DEGRADACIÓN, CON ÍNDICE MÍNIMO DE
20 MIN EN LA METODOLOGÍA DE PRUEBA ILO NBR 14692;
ÍNDICE DE FLUIDEZ MENOR O IGUAL A 1.75G/10MIN
METODOLOGIA NBR 9023;
NEGRO HUMO CON PIGMENTACIÓN MEDIA DEL 2,5% (+/-0,5%);
CONTENIDO MÁXIMO EN CENIZAS 0,2% ;
EMBALAJE ROLLO;
CAPACIDAD DEL EMBALAJE 100 m;
CON CINTA DE AVISO "PERIGO";
CONFORME NORMA (S) TECNICA(S) ABNT NBR 15715;</t>
  </si>
  <si>
    <t>REFERENCIA:
KANALEX Duto PEAD Flexível Corrugado Helicoidal DNE 63 NBR 15.715
CRC680N em rolo de 100 metros tamponado nas extremidades com fio-guia e
fita de aviso.
FABRICANTE: KANAFLEX.
Certificação do material contendo os resultados dos ensaios de:
Diâmetro Externo Médio;
Compressão Diametral;
Resistência ao Impacto;
Resistência à Compressão;
Matéria-Prima;
Teor de Negro Fumo;
Teor de Cinzas;
Índice de Fluidez;
Degradabilidade do Material
TIPO CORRUGADO ESPIRALADO (HELICOIDAL)
Não será aceito tipo anelado</t>
  </si>
  <si>
    <t>REFERENCIA:
Tubería KANALEX HDPE Flexible Corrugado Helicoidal DNE 190 NBR 15,715
CRC680N en rollo de 50 metros, tapado en los extremos con una guía y
cinta de advertencia
FABRICANTE: KANAFLEX.
Certificación del material que contiene los resultados de las pruebas
de:
diámetro exterior promedio;
Compresión Diametral;
Resistencia al impacto;
Fuerza compresiva;
Materia prima;
Contenido de humo negro;
Contenido de cenizas;
índice de fluidez;
Degradabilidad de materiales
ESPIRAL TIPO CORRUGADO (HELICOIDAL)
No se aceptarán tipos anillados</t>
  </si>
  <si>
    <t>39030230</t>
  </si>
  <si>
    <t>713263</t>
  </si>
  <si>
    <t xml:space="preserve">| Alterar para ZP, CMM = 5.0
</t>
  </si>
  <si>
    <t>CHAVE ARMAR DISTR CRUZ 76MM</t>
  </si>
  <si>
    <t>P:\Mfotos\Padronizadas\713263(A).jpg</t>
  </si>
  <si>
    <t>26050115</t>
  </si>
  <si>
    <t>00 11 03 - KNIPEX</t>
  </si>
  <si>
    <t>30222 69.0
30313 12.0
30316 8.0
30314 5.0
30324 3.0</t>
  </si>
  <si>
    <t>18619.0</t>
  </si>
  <si>
    <t>ASAP COM E IMPORT DE COMP ELETRONIC</t>
  </si>
  <si>
    <t>CHAVE;
PARA ARMARIO DISTRIBUIÇÃO;
ZAMAK (LIGA DE ZINCO);
TIPO DE ENCAIXE CHAVE: QUADRADO 5/6/8 mm;
TRIANGULO 9 mm;
PALHETAO DUPLO 3-5 mm;
EM UM BRACO BIT 1/4;
PRESOS CORRENTE DE FIXACAO:;
1 BIT INTERCALADO;
FENDA 1,0X7 E FENDA CRUZ PH2,1 ADAPTADOR PARA BITS
1/4;
PROTECAO SUPERFICIAL ZINCADO OU GALVANIZADO;
COMPRIMENTO 76 mm.</t>
  </si>
  <si>
    <t>LLAVE;
PARA ARMARIO DISTRIBUCION;
ZAMAK (ALEACIÓN DE ZINC);
TIPO DE ENCASTRE LLAVE: CUADRADA 5/6/8 mm;
TRIANGULO 9 mm;
DOS SOLAPAS 3-5 mm;
EN UN BRAZO BIT 1/4;
PRESOS CADENA DE FIJACION:;
1 BIT INTERCALADO;
RANURA 1,0X7 Y RANURA CRUZ PH2,1 ADAPTADOR PARA BITS
1/4;
PROTECCION SUPERFICIAL ZINCADO O GALVANIZADO;
LARGO 76 mm.</t>
  </si>
  <si>
    <t>REFERENCIA:
00 11 03 - KNIPEX</t>
  </si>
  <si>
    <t>716649</t>
  </si>
  <si>
    <t xml:space="preserve">| Sugestao PR=5.0
| Sugestao MAX=34.0
| Verificar reserva
</t>
  </si>
  <si>
    <t>CURVA 90° ELETROD ACO 3"</t>
  </si>
  <si>
    <t>P:\Mfotos\Padronizadas\716649(A).jpg</t>
  </si>
  <si>
    <t>39030238</t>
  </si>
  <si>
    <t>CURVA 90 3"- APOLO</t>
  </si>
  <si>
    <t>[59.0]</t>
  </si>
  <si>
    <t>30412 83.0
52630 2.0
71423 1.0</t>
  </si>
  <si>
    <t>6217.0</t>
  </si>
  <si>
    <t>FECVA COMERCIO DE MAT ELETRICOS FER</t>
  </si>
  <si>
    <t>CURVA;
TIPO PESADO;
ANGULO 90 grau;
PARA ELETRODUTO;
MATERIAL ACO CARBONO;
PROTECAO SUPERFICIAL ZINCADO A QUENTE;
FABRICACAO SOLDA LONGITUDINAL;
ACABAMENTO INTERNO LIVRE DE REBARBAS;
EXTREMIDADE(S) COM ROSCA NPT;
DIAMETRO NOMINAL 3" (DN 80);
NORMA TECNICA APLICAVEL ABNT NBR 5597.</t>
  </si>
  <si>
    <t>CURVA;
TIPO PESADA;
ANGULO 90 deg;
PARA ELECTRODUTO;
MATERIAL ACERO CARBONO;
PROTECCION SUPERFICIAL ZINCADO A FUEGO;
FABRICACION SOLDADURA LONGITUDINAL;
ACABADO INTERNO LIVRE DE REBARBAS;
EXTREMO(S) CON ROSCA NPT;
DIAMETRO NOMINAL 3" (DN 80);
NORMA TECNICA APLICABLE ABNT NBR 5597.</t>
  </si>
  <si>
    <t>Referência:
CURVA 90 3"- APOLO</t>
  </si>
  <si>
    <t>Referencia:
Curva 90 3"- APOLO</t>
  </si>
  <si>
    <t>404063</t>
  </si>
  <si>
    <t>| Verificar consulta</t>
  </si>
  <si>
    <t>DISJUNTOR TERMOMAG 2P 480V 10A</t>
  </si>
  <si>
    <t>P:\Mfotos\Padronizadas\404063(A).jpg</t>
  </si>
  <si>
    <t>SMIT</t>
  </si>
  <si>
    <t>TED - GENERAL ELECTRIC</t>
  </si>
  <si>
    <t>DISJUNTOR;
TIPO TERMOMAGNETICO;
CAIXA MOLDADA ;
NAO EXTRAIVEL;
NUMERO DE POLOS 2;
CARACTERISTICAS DE OPERACAO MANUAL;
TIPO DE ACIONAMENTO ALAVANCA;
TENSAO NOMINAL 480 V;
CORRENTE NOMINAL 10 A;
CAPACIDADE INTERRUP SIMETRICA 10 kA EM 250 Vcc;
NUMERO E TIPO CONTATOS AUXIL 1NF;
CORRENTE CONTATOS AUXILIARES 6 A;
AJUSTE DO ELEMENTO TERMICO FIXO EM 10 A;
TIPO DE CONEXAO FRONTAL COM PRENSACABOS;
CONFORME NORMA(S) TECNICA (S) IEC 157-1.</t>
  </si>
  <si>
    <t>DISYUNTOR;
TIPO TERMOMAGNETICO;
CAJA MOLDEADA ;
NO EXTRAIBLE;
NUMERO DE POLOS 2;
CARACTERISTICAS DE OPERACION MANUAL;
TIPO DE ACCIONAMIENTO PALANCA;
TENSION NOMINAL 480 V;
CORRIENTE NOMINAL 10 A;
CAPACIDAD INTERRUP SIMETRICA 10 kA EN 250 Vcc;
NUMERO Y TIPO CONTACTOS AUX 1NC;
CORRIENTE CONTACTOS AUX 6A AJUSTE DEL ELEMENTO
TERMICO FIJO EN 10 A;
TIPO DE CONEXION FRONTAL CON PRENSACABLES;
CONFORME NORMA(S) TECNICA(S) IEC 157-1.</t>
  </si>
  <si>
    <t>5SX1-210-7 Siemens</t>
  </si>
  <si>
    <t>ORIGINAL - TED 124010+TEDBARS - GENERAL ELECTRIC</t>
  </si>
  <si>
    <t>712332</t>
  </si>
  <si>
    <t xml:space="preserve">| Alterar para ZP, CMM = 2.0
</t>
  </si>
  <si>
    <t>TOMADA IND SOBREP 3P+T 440/460V 63A 11H</t>
  </si>
  <si>
    <t>P:\Mfotos\Padronizadas\712332(A).jpg</t>
  </si>
  <si>
    <t>39030101</t>
  </si>
  <si>
    <t>S-45011 - STECK</t>
  </si>
  <si>
    <t>30314 16.0
30311 15.0</t>
  </si>
  <si>
    <t>TOMADA, INDUSTRIAL;
SOBREPOR;
CARCACA EM TERMOPLASTICO;
AUTO-EXTINGUIVEL;
VEDACAO EM SBR;
TERMINAIS EM LATAO;
4 POLOS (3P + T);
TENSAO 440/460 V;
CORRENTE 63 A;
TERRA EM 11 HORAS;
GRAU DE PROTECAO IP-67;
ROSCA BSP 5/8" (16 MM);
DISTANCIA ENTRE PUNTOS DE FIJACIÓN 109X60MM;
NORMAS TECNICAS APLICAVEIS ABNT NBR IEC 60309-1.</t>
  </si>
  <si>
    <t>TOMA, INDUSTRIAL;
ADOSADA;
CARCAZA EN TERMOPLASTICO;
AUTO-EXTINGUIBLE;
SELLO EN SBR;
TERMINALES EN LATON;
4 POLOS (3P + T);
TENSION 440/460 V;
CORRIENTE 63 A;
TIERRA EN 11 HORAS;
GRADO DE PROTECCON IP-67;
ROSCA BSP 5/8" (16 MM);
DISTÂNCIA ENTRE PONTOS DE FIXACAO 109X60MM;
NORMAS TECNICAS APLICABLES ABNT NBR IEC 60309-1.</t>
  </si>
  <si>
    <t>REFERENCIA S-45011;
MARCA STECK.</t>
  </si>
  <si>
    <t>711845</t>
  </si>
  <si>
    <t xml:space="preserve">| Sugestao PR=70.0
| Sugestao MAX=98.0
</t>
  </si>
  <si>
    <t>CABO FLEX ATER CU/EL 50MM2 TRANSP</t>
  </si>
  <si>
    <t>P:\Mfotos\Padronizadas\711845(A).jpg</t>
  </si>
  <si>
    <t>39030301</t>
  </si>
  <si>
    <t>CTC 50 - RITZ</t>
  </si>
  <si>
    <t>30314 72.0
30315 20.0
71332 12.0</t>
  </si>
  <si>
    <t>3235.0</t>
  </si>
  <si>
    <t>MAXEL MATERIAIS ELETRICOS LTDA</t>
  </si>
  <si>
    <t>CABO, ELETRICO FLEXIVEL;
MATERIAL DO CONDUTOR COBRE ELETROLITICO;
TEMPERA DO CONDUTOR MOLE;
NUMERO DE CONDUTORES 1;
SECAO NOMINAL 50,00 mm2;
TENSAO DE ISOLAMENTO 450/750V;
MATERIAL DA ISOLACAO PVC TRANSPARENTE;
TEMPERATURA MAXIMA DO CONDUTOR 70°C;
CLASSE DE ENCORDOAMENTO 6;
NORMAS TECNICAS APLICAVEIS ABNT NBR 8762.</t>
  </si>
  <si>
    <t>CABLE, ELECTRICO FLEXIBLE;
MATERIAL DEL CONDUCTOR COBRE ELECTROLITICO;
TEMPLE DEL CONDUCTOR BLANDO;
NUMERO DE CONDUCTORES 1;
SECCION NOMINAL 50,00 mm2;
TENSION DE AISLAMIENTO 450/750V;
MATERIAL DEL AISLAMIENTO PVC TRANSPARENTE;
TEMPERATURA MAXIMA DEL CONDUCTOR 70°C;
CLASE DE CABLEADO 6;
NORMAS TECNICAS APLICABLES ABNT NBR 8762.</t>
  </si>
  <si>
    <t>REFERENCIA:
MARCA RITZ - CTC 50.
Clausula de sustentabilidade.</t>
  </si>
  <si>
    <t>REFERENCIA:
MARCA RITZ - CTC 50.
CLAUSULA DE SUSTENTABILID</t>
  </si>
  <si>
    <t>521680</t>
  </si>
  <si>
    <t>CONTATOR 3P 1NA/1NF 25A 125VCC</t>
  </si>
  <si>
    <t>P:\Mfotos\Padronizadas\521680(A).jpg</t>
  </si>
  <si>
    <t>39020203</t>
  </si>
  <si>
    <t>LC1D25GD - SCHNEIDER ELECTRIC</t>
  </si>
  <si>
    <t>30314 3.0</t>
  </si>
  <si>
    <t>CONTATOR;
NUMERO DE POLOS 3;
TENSAO DE ISOLAMENTO 660 V;
CORRENTE NOMINAL MINIMA (AC3) 25 A;
CORRENTE NOMINAL (AC1) 40 A;
CONTATOS PRINCIPAIS 3NA;
CONTATOS AUXILIARES 1NA/1NF;
CORRENTE CONTATOS AUXILIARES 10 A;
TENSAO NOMINAL DA BOBINA 125 Vcc;
FIXACAO POR PARAFUSOS;
NORMA TECNICA APLICAVEL EN 60947-5-4-1, UL 508.</t>
  </si>
  <si>
    <t>CONTACTOR;
NUMERO DE POLOS 3;
TENSION DE AISLAMIENTO 660 V;
CORRIENTE NOMINAL MINIMA (AC3) 25 A;
CORRIENTE NOMINAL (AC1) 40 A;
CONTACTOS PRINCIPALES 3NA;
CONTACTOS AUXILIARES 1NA/1NC;
CORRIENTE CONTACTOS AUXILIARES 10 A;
TENSION NOMINAL BOBINA 125 Vcc;
FIJACION POR TORNILLOS;
CONFORME NORMAS TECNICAS EN 60947-5-4-1,
UL 508.</t>
  </si>
  <si>
    <t>SUGERIMOS QUE SEJA ADQUIRIDA A REFERÊNCIA
LC1D25GD - MARCA SCHNEIDER ELECTRIC,  POR
SER SUBSTITUTO DA REFERÊNCIA LP1 D 259 FE
A65  -  TELEMECANIQUE UTILIZADAS PELA  IB
E COM FABRICAÇÃO DESCONTINUADA.</t>
  </si>
  <si>
    <t>SUGERIMOS QUE SE ADQUIERE LA REFERENCIA
LC1D25GD - MARCA SCHNEIDER ELECTRIC, POR
SER SUSTITUTO DE REFERENCIA LP1 D 259 FE
A65 - TELEMECANIQUE UTILIZADO POR IB
Y CON FABRICACIÓN DESCONTINUADA.</t>
  </si>
  <si>
    <t>ORIGINAL - LP1 D259FE - TELEMECANIQUE
ORIGINAL - LP1 D259G - TELEMECANIQUE</t>
  </si>
  <si>
    <t>717376</t>
  </si>
  <si>
    <t xml:space="preserve">| Alterar para ZP, CMM = 4.0
</t>
  </si>
  <si>
    <t>PLUGUE IND MACH 3P+N+T 63A 380/440V</t>
  </si>
  <si>
    <t>P:\Mfotos\Padronizadas\717376(A).jpg</t>
  </si>
  <si>
    <t>6168017 - MARECHAL ELECTRIC</t>
  </si>
  <si>
    <t>30314 63.0
30311 5.0
52630 1.0</t>
  </si>
  <si>
    <t>21505.0</t>
  </si>
  <si>
    <t>VEXTROM INDUSTRIA E COM LTDA</t>
  </si>
  <si>
    <t>PLUGUE, INDUSTRIAL;
CONECTOR (MACHO);
CARCACA EM METAL;
5 POLOS (3P + N + T);
TENSAO 380/440 V;
CORRENTE 63 A;
GRAU DE PROTECAO IP66 / IP67;
REFERENCIA 6168017;
MARCA MARECHAL ELECTRIC.</t>
  </si>
  <si>
    <t>ENCHUFE, INDUSTRIAL;
CONECTOR (MACHO);
CARCAZA EN METAL;
5 POLOS (3P + N + T);
TENSION 380/440 V;
CORRIENTE 63 A;
GRADO DE PROTECCION IP66 / IP67;
REFERENCIA 6168017;
MARCA MARECHAL ELECTRIC.</t>
  </si>
  <si>
    <t>Os itens em aquisição, na marca/modelo indicados, atendem as
necessidades da ITAIPU no que toca a segurança do trabalho, considerando
que:
. O arco elétrico é um fenômeno que ocorre em toda interrupção de
circuito com carga e sua existência coloca o trabalhador em risco;
conforme estabelece o item 10.4.2 da NR-10 estabelecida pelo Ministério
do Trabalho (Brasil) devem ser adotadas medidas de controle aos riscos
na operação de equipamentos elétricos.
A tomada na marca/modelo indicada, objeto desta aquisição, é a única que
mitiga o arco elétrico de maneira automática, sem a necessidade de uso
de chaves como disjuntores acionados por manopla, o que diminui o risco
de falha humana. Ademais, por não possuir componentes internos (ex.
disjuntores) que necessitam de manutenção o número de intervenções
necessárias é significativamente reduzido, e com isso o trabalhador
ganha novamente em segurança.
Portanto, em razão do exposto, para aplicação requerida, não é possível
a aquisição/utilização de material de outras marcas/modelos.</t>
  </si>
  <si>
    <t>Los ítems en adquisición, en la marca/modelo indicados, atienden las
necesidades de ITAIPU con respecto a la seguridad en el trabajo,
considerando que:
. El arco eléctrico es un fenómeno que ocurre en cualquier interrupción
del circuito con carga y su existencia pone en riesgo al trabajador;
según lo establecido en el ítem 10.4.2 de la NR-10 establecida por el
Ministerio de Trabajo (Brasil), se deben adoptar medidas de control de
riesgos en la operación de equipos eléctricos.
La toma en la marca/modelo indicado, objeto de esta adquisición, es la
única que mitiga el arco eléctrico de manera automática, sin la
necesidad de llaves como disyuntores accionados por manopla, lo que
reduce el riesgo de falla humana. Además, como no tiene componentes
internos (ej. disyuntores) que requieren mantenimiento, el número de
intervenciones necesarias se reduce significativamente, y con esto el
trabajador vuelve a ganar en seguridad.
Por lo tanto, dada las condiciones expuestas, para la aplicación
requerida, no es posible adquisición/utilización de material de otras
marcas/modelos.</t>
  </si>
  <si>
    <t>710980</t>
  </si>
  <si>
    <t xml:space="preserve">| Sugestao PR=21.0
| Sugestao MAX=70.0
</t>
  </si>
  <si>
    <t>PROTETOR SURTO 127/220V 40KA</t>
  </si>
  <si>
    <t>P:\Mfotos\Padronizadas\710980(A).jpg</t>
  </si>
  <si>
    <t>390401</t>
  </si>
  <si>
    <t>DPS VCL 275V 40KZ SLIM - CLAMPER</t>
  </si>
  <si>
    <t>[44.0]</t>
  </si>
  <si>
    <t>50141 30.0
51525 25.0
30412 24.0
71423 20.0
51524 20.0</t>
  </si>
  <si>
    <t>PROTETOR, SURTO;
TENSAO MAXIMA DE TRABALHO 275 V;
TENSAO NOMINAL DE OPERACAO 127/220 Vca;
CORRENTE SURTO 15 kA;
CORRENTE MAXIMA SURTO 40 kA;
#NIVEL PROTECAO 15 kA (&lt;1,5 kV);
LARGURA 25 mm;
PROFUNDIDADE 96 mm;
COMPRIMENTO 68 mm.</t>
  </si>
  <si>
    <t>PROTECTOR, SOBRETENSION;
TENSION MAXIMA DE TRABAJO 275 V;
TENSION NOMINAL DE OPERACION 127/220 Vca;
CORRIENTE SURTO 15 kA;
CORRIENTE MAXIMA SURTO 40 kA;
NIVEL PROTECCION 15 kA (&lt;1,5 kV);
ANCHO 25 mm;
PROFUNDIDAD 96 mm;
LARGO 68 mm.</t>
  </si>
  <si>
    <t>REFERENCIA:
DPS VCL 275V 40KZ SLIM - CLAMPER</t>
  </si>
  <si>
    <t>39030104</t>
  </si>
  <si>
    <t>582832</t>
  </si>
  <si>
    <t xml:space="preserve">| Sugestao PR=2.0
| Sugestao MAX=6.0
</t>
  </si>
  <si>
    <t>CHAVE ELET ROT SEL 4POS 4CONT 16A</t>
  </si>
  <si>
    <t>P:\Mfotos\Padronizadas\582832(A).jpg</t>
  </si>
  <si>
    <t>39030215</t>
  </si>
  <si>
    <t>[6.0]</t>
  </si>
  <si>
    <t>30314 13.0</t>
  </si>
  <si>
    <t>25376.0</t>
  </si>
  <si>
    <t>YBR COMERCIO E SERVICOS ELETRICOS L</t>
  </si>
  <si>
    <t>CHAVE, ELETRICA ROTATIVA;
TIPO SELETORA;
FIXACAO PELO TOPO;
4 POSICOES;
ANGULO DE COMUTACAO 45 GRAUS;
4 CONTATOS (2 BLOCOS COM 2 CONTATOS CADA);
CORRENTE NOMINAL DOS CONTATOS 16A EM 600 V;
TENSAO DE ISOLAMENTO 660 V;
PROGRAMACAO DA POSICAO 1 LEITURA FASE 1-2;
PROGRAMACAO DA POSICAO 2 LEITURA FASE 2-3;
PROGRAMACAO DA POSICAO 3 LEITURA FASE 3-1;
OBS: COM POSICAO "OFF" A ESQUERDA;
PUNHO TIPO "K" COR PRETA;
PLACA FRONTAL 66X66 mm;
TERMINAIS APARAFUSADOS.</t>
  </si>
  <si>
    <t>LLAVE, ELECTRICA ROTATIVA;
TIPO SELECTORA;
FIJACION POR LA PARTE SUPERIOR;
4 POSICIONES;
ANGULO DE CONMUTACION 45 GRADOS;
4 CONTACTOS (2 BLOQUES CON 2 CONTACTOS CADA);
CORRIENTE NOMINAL DE LOS CONTACTOS 16A EN 600 V;
TENSION DE AISLAMIENTO 660 V;
PROGRAMACION DE LA POSICION 1 LECTURA FASE 1-2;
PROGRAMACION DE LA POSICION 2 LECTURA FASE 2-3;
PROGRAMACION DE LA POSICION 3 LECTURA FASE 3-1;
OBS: CON POSICION "OFF" A LA IZQUIERDA;
MANIJA TIPO "K" COLOR NEGRO;
PLACA FRONTAL 66X66 mm;
TERMINALES CON TORNILLOS.</t>
  </si>
  <si>
    <t>REFERENCIA:
V31 16E KS - SEMITRANS</t>
  </si>
  <si>
    <t>ORIGINAL - V31/16E-K - SEMITRANS
ORIGINAL - V31/16E - SEMITRANS
ORIGINAL - V31/16E-KS - SEMITRANS
ORIGINAL - V3/16E-K - SEMITRANS
ORIGINAL - - - -
SUBSTITUTO - THS-ST031 - THS</t>
  </si>
  <si>
    <t>714682</t>
  </si>
  <si>
    <t xml:space="preserve">| Alterar para ZP, CMM = 1.0
</t>
  </si>
  <si>
    <t>MOLDE SOLD EXOT X HASTE 35MM2</t>
  </si>
  <si>
    <t>P:\Mfotos\Padronizadas\714682(A).jpg</t>
  </si>
  <si>
    <t>39030304</t>
  </si>
  <si>
    <t>GXA-5/8-35 R1 - CONEXOLDA</t>
  </si>
  <si>
    <t>71423 4.0</t>
  </si>
  <si>
    <t>26026.0</t>
  </si>
  <si>
    <t>MARTINS CONEXOES COMERCIAL LTDA</t>
  </si>
  <si>
    <t>MOLDE, SOLDA EXOTERMICA;
TIPO PADRAO (NAO REFORCADO);
MATERIAL GRAFITE;
TIPO DE CONEXAO CABO A HASTE, X;
CONEXAO CABO(S) 1 CABO PASSANTE TOPO, 2 DERIVACOES
CORTADAS;
SECAO CONDUTOR PRINCIPAL 35 mm2;
SECAO CONDUTOR DERIVACAO 35 mm2;
DIAMETRO NOMINAL HASTE 5/8 POLEGADA.</t>
  </si>
  <si>
    <t>MOLDE, SOLDADURA EXOTERMICA;
TIPO PADRON (NO REFORZADO);
MATERIAL GRAFITE;
TIPO DE CONEXION CABLE A JABALINA, X;
CONEXION CABLE(S) 1 CABLE PASSANTE TOPO, 2
DERIVACIONES CORTADAS;
SECCION CONDUCTOR PRINCIPAL 35 mm2;
SECCION CONDUCTOR DERIVACION 35 mm2;
DIAMETRO NOMINAL JABALINA 5/8 PULGADA.</t>
  </si>
  <si>
    <t>517127</t>
  </si>
  <si>
    <t>| Abrir consulta para SMIT
Prezados, 
O codigo CONTATOR 3P 2NA/2NF 85A 120V 50HZ - 517127 teve a licitação fracassada
Favor indicar uma referencia substituta.
Referencia atual: nan
Ultimas Reservas
 Centro custo  Data base Nome do usuário Cód. Localização                           Descrição do Equipamento                                                Motivo da Reserva  Qtd.retirada
        30314 2024-07-25           RPINO         J052D025 QUADRO QL-9A111-0 - EDIFICIO DE PRODUCAO 5. PAVIM.                    MANUT.CORRETIVA QL-9A111,5°P.  -  PMS/MEG3  -           1.0
        30314 2023-10-23           RPINO         K052D022   QUADRO QL-10111-0 - EDIFICIO DE PRODUCAO 5.PAVIM                  MANUT.CORRET.QL-10111-0,5ºPISO.  -  GAA/MEG3  -           1.0
        30314 2022-12-21           RPINO         K052D014   QUADRO QL-10052-0 - EDIFICIO DE PRODUCAO 2.PAVIM MANUT.CORRET.QL-10052-0,2°P,EDIFÍCIO DE PRODUÇÃO.  -  RP/MEG3  -           1.0</t>
  </si>
  <si>
    <t>CONTATOR 3P 2NA/2NF 85A 120V 50HZ</t>
  </si>
  <si>
    <t>P:\Mfotos\Padronizadas\517127(A).jpg</t>
  </si>
  <si>
    <t>39020201</t>
  </si>
  <si>
    <t>28297.0</t>
  </si>
  <si>
    <t>FIO FORTE MATERIAL ELETRICO LTDA</t>
  </si>
  <si>
    <t>CONTATOR;
POLO(S) 3;
TENSAO DE ISOLAMENTO 660 V;
CORRENTE NOMINAL 85A (AC-1);
CONTATOS PRINCIPAIS 3NA;
CORRENTE NOM. CONTATOS PRINCIPAIS 45A (AC-3);
CONTATO(S) AUXILIAR(ES) 2NA/2NF;
CORRENTE NOM. CONTATOS AUXILIARES 10 A;
TENSAO DA BOBINA 120 V;
FREQUENCIA NOMINAL DA BOBINA 50 Hz;
FIXACAO PELA BASE COM PARAFUSOS;
OBS: ALIMENTACAO DA BOBINA 0,85 A 1,1UN;
CONFORME NORMAS VDE 0660.</t>
  </si>
  <si>
    <t>CONTACTOR;
POLO(S) 3;
TENSION DE AISLAMIENTO 660 V;
CORRIENTE NOMINAL 85 A;
CONTACTOS PRINCIPALES 3NA;
CORRIENTE NOM. CONTACTOS PRINCIPALE 45 A;
CONTACTO(S) AUXILIAR(ES) 2NA/2NC;
CORRIENTE NOM. CONTACTOS AUXILIARES 10 A;
TENSION DE LA BOBINA 120 V;
FRECUENCIA NOMINAL DE LA BOBINA 50 Hz;
FIJACION POR LA BASE CON TORNILLOS;
OBS: ALIMENTACION DE LA BOBINA 0,85 A 1,1UN;
CONFORME NORMAS VDE 0660.</t>
  </si>
  <si>
    <t>Referencia
AX50-30-11-75 - ABB</t>
  </si>
  <si>
    <t>SUBSTITUTO - - - -
ORIGINAL - B32-30-22 (FPL3011001R2229) - ABB</t>
  </si>
  <si>
    <t>712752</t>
  </si>
  <si>
    <t xml:space="preserve">| Sugestao PR=53.0
| Sugestao MAX=112.0
</t>
  </si>
  <si>
    <t>FITA ADES VHB DUP FACE 12MMX33M</t>
  </si>
  <si>
    <t>P:\Mfotos\Padronizadas\712752(A).jpg</t>
  </si>
  <si>
    <t>39030283</t>
  </si>
  <si>
    <t>FITA VHB 4950 (12MM X 33M) - 3M</t>
  </si>
  <si>
    <t>[108.0]</t>
  </si>
  <si>
    <t>51452 33.0
60421 24.0
30312 23.0
71341 15.0
72332 14.0</t>
  </si>
  <si>
    <t>FITA, ADESIVA MULTIUSO;
TIPO VHB - DUPLA FACE, INTERIOR/EXTERIOR;
PARA PLACA DE SINALIZACAO, ALUMINIO, ACO
GALVANIZADO, INOX, ACO PINTADO, VIDRO, EPOXI,
CERAMICA;
MATERIAL MATERIAL ESPUMA ACRILICA, BRANCA,
(COM LINER FILME PROPILENO);
EMBALAGEM ROLO;
LARGURA 12 mm;
COMPRIMENTO 33 m.</t>
  </si>
  <si>
    <t>CINTA, ADHESIVA MULTIUSO;
TIPO VHB DOBLE FAZ, INTERNO/EXTERNO;
PARA PLACA DE SENALIZACION, ALUMINIO, ACERO
GALVANIZADO, INOX, ACERO PINTADO, VIDRIO, EPOXI,
CERAMICA;
MATERIAL ESPUMA ACRILICA, BLANCA,
(CON LINER PELICULA PROPILENO);
EMBALAJE ROLLO;
ANCHO 12 mm;
LARGO 33 m.</t>
  </si>
  <si>
    <t>REFERENCIA:
FITA VHB dupla - face de espuma 4950 - 3M
(12mm x 33m)</t>
  </si>
  <si>
    <t>231614</t>
  </si>
  <si>
    <t xml:space="preserve">| Sugestao PR=209.0
| Sugestao MAX=698.0
</t>
  </si>
  <si>
    <t>LAMPADA VAP SODIO A/P ELIPT E-40 250W</t>
  </si>
  <si>
    <t>P:\Mfotos\Padronizadas\231614(A).jpg</t>
  </si>
  <si>
    <t>39010203</t>
  </si>
  <si>
    <t>71423 1453.0
30314 8.0</t>
  </si>
  <si>
    <t>LAMPADA, VAPOR SODIO;
TIPO ALTA PRESSAO;
TIPO DE BULBO ELIPTICO;
ACABAMENTO DO BULBO BRANCO;
BASE E40;
POTENCIA 250 W;
CORRENTE NOMINAL MAXIMA 3 A;
TEMPERATURA DE COR 1900 A 2100 K;
FLUXO LUMINOSO MINIMO 26000 LM;
EFICIENCIA LUMINOSA MINIMA 102 LM/W;
INDICE REPRODUCAO DE COR (IRC) MAXIMO 25;
VIDA UTIL MEDIANA MAIOR QUE 27000 h;
DIAMETRO EXTERNO MAXIMO 91 mm;
COMPRIMENTO TOTAL MAXIMO 227 mm;
CONFORME NORMA(S) TECNICA(S) ABNT NBR IEC 60662;
IEC 60662.</t>
  </si>
  <si>
    <t>LAMPARA, VAPOR DE SODIO;
ALTA PRESION;
AMPOLLA ELIP-TICA;
ACABAMIENTO DE LA AMPOLLA BLANCO;
BASE E40;
POTENCIA 250 W;
CORRIENTE NOMINAL MAXIMA 3 A;
TEMPERATURA DE COLOR 1900 A 2100K;
FLUJO LUMINOSO MINIMO 26000 LM;
EFICACIA LUMINOSA MINIMA 102 LM/W;
INDICE REPRODUCCION CROMATICA (IRC) MAXIMO 25;
VIDA MEDIANA MAYOR QUE 27000 h;
DIAMETRO EXTERNO MAXIMO 91 mm;
LARGO TOTAL MAXIMO 227 mm;
CONFORME NORMA(S) TECNICA(S) ABNT NBR IEC 60662;
IEC 60662.</t>
  </si>
  <si>
    <t>REFERENCIA:
SON 250, MARCA PHILIPS, OU
VIALOX NAV-E 250W 4Y- OSRAM OU
SO32524, MARCA EMPALUX.</t>
  </si>
  <si>
    <t>AD</t>
  </si>
  <si>
    <t>512001</t>
  </si>
  <si>
    <t>CONTADOR PULS ELETROM 6DIG 125V 600CPM</t>
  </si>
  <si>
    <t>P:\Mfotos\Padronizadas\512001(A).jpg</t>
  </si>
  <si>
    <t>39030220</t>
  </si>
  <si>
    <t>30315 5.0</t>
  </si>
  <si>
    <t>CONTADOR, PULSO;
TIPO ELETROMECANICO;
DIGITOS 6;
VELOCIDADE MAXIMA 600 CPM;
ALIMENTACAO 125 Vcc;
DIMENSOES 39,70 mm;
FIXACAO POR FLANGE.</t>
  </si>
  <si>
    <t>CONTADOR, PULSO;
TIPO ELECTROMECANICO;
DIGITOS 6;
VELOCIDAD MAXIMA 600 CPM;
ALIMENTACION 125 Vcc;
DIMENSIONES 39,70 mm;
FIJACION POR BRIDA.</t>
  </si>
  <si>
    <t>REFERÊNCIA:
SÉRIE 779006-216  - VEEDER-ROOT
MONTAGEM FIXACAO POR FLANGE.</t>
  </si>
  <si>
    <t>REFERÊNCIA:
SÉRIE 779006-216 - VEEDER-ROOT
FIJACION POR BRIDA.</t>
  </si>
  <si>
    <t>620211</t>
  </si>
  <si>
    <t xml:space="preserve">| Sugestao PR=7.0
| Sugestao MAX=22.0
</t>
  </si>
  <si>
    <t>PLUGUE IND MACH 3P+T 380/440V 32A 6H</t>
  </si>
  <si>
    <t>P:\Mfotos\Padronizadas\620211(A).jpg</t>
  </si>
  <si>
    <t>39030276</t>
  </si>
  <si>
    <t>N-4276 - STECK</t>
  </si>
  <si>
    <t>[22.0]</t>
  </si>
  <si>
    <t>30314 24.0
30311 13.0
71423 8.0
30412 2.0</t>
  </si>
  <si>
    <t>26642.0</t>
  </si>
  <si>
    <t>MATERIAIS ELETRICOS STRAHL LTDA</t>
  </si>
  <si>
    <t>PLUGUE, INDUSTRIAL;
MACHO;
VERMELHO;
CARCACA EM POLIAMIDA 6.6;
AUTOEXTINGUIVEL;
VEDACAO EM NEOPRENE;
TERMINAIS EM LATAO;
4 POLOS (3P + T);
TENSAO 380/440 V;
CORRENTE 32 A;
TERRA EM 6 HORAS;
GRAU DE PROTECAO IP-44;
CONFORME NORMA(S) ABNT NBR IEC 60309-1.</t>
  </si>
  <si>
    <t>ENCHUFE, INDUSTRIAL;
MACHO;
ROJO;
CARCAZA EN POLIAMIDA 6.6;
AUTOEXTINGUIBLE;
SELLO EN NEOPRENE;
TERMINALES EN LATON;
4 POLOS (3P + T);
TENSION 380/440 V;
CORRIENTE 32 A;
TIERRA EN 6 HORAS;
GRADO DE PROTECCON IP-44;
CONFORME LA(S) NORMA(S) ABNT NBR IEC 60309-1.</t>
  </si>
  <si>
    <t>REFERENCIA:
N-4276 - STECK</t>
  </si>
  <si>
    <t>SIMILAR - 4276 - STRAHL
ORIGINAL - S4276 - STECK</t>
  </si>
  <si>
    <t>200239</t>
  </si>
  <si>
    <t xml:space="preserve">| Sugestao PR=48.0
| Sugestao MAX=107.0
</t>
  </si>
  <si>
    <t>BLOCO CONT TEMP ON DELAY 0-30S 1NA/1NF</t>
  </si>
  <si>
    <t>P:\Mfotos\Padronizadas\200239(A).jpg</t>
  </si>
  <si>
    <t>LADT2 - SCHNEIDER</t>
  </si>
  <si>
    <t>[95.0]</t>
  </si>
  <si>
    <t>30314 75.0
30315 75.0</t>
  </si>
  <si>
    <t>BLOCO, CONTATO;
PARA CONTATOR CA2-D;
CA3-D;
LC1-D;
LP1-D;
ATUACAO TEMPORIZADO AO TRABALHO (ON DELAY);
CONTATO(S) 1NA/1NF;
CORRENTE NOMINAL DOS CONTATOS 10A EM 690 Vca;
TEMPORIZACAO DOS CONTATOS 0,1 A 30 SEGUNDOS NA
ENERGIZACAO;
FIXACAO POR ENCAIXE;
CONFORME NORMAS IEC/EN 60947-5-1;
VDE 0660.
MARCA MODELO
SCHNEIDER - LADT2</t>
  </si>
  <si>
    <t>BLOQUE, CONTACTO;
PARA CONTACTOR CA2-D;
CA3-D;
LC1-D;
LP1-D;
ACTUACION TEMPORIZADO AL TRABAJO (ON DELAY);
CONTACTO(S) 1NA/1NC;
CORRIENTE NOMINAL DE LOS CONTACTOS 10A EN 690 Vca;
TEMPORIZACION DE LOS CONTACTOS 0,1 A 30 SEGUNDOS EN
LA ENERGIZACION;
FIJACION ENCASTRE;
CONFORME NORMAS IEC/EN 60947-5-1;
VDE 0660.
MARCA MODELO
SCHNEIDER - LADT2</t>
  </si>
  <si>
    <t>FAZ-SE NECESSÁRIA A AQUISIÇÃO DA MARCA E
MODELO INDICADOS, POIS É ACESSÓRIO    DE
CONTATOR DA MESMA MARCA, NÃO SENDO ADMI-
TIDOS OUTROS MODELOS, POR INCOMPATIBILI-
DADE TÉCNICA E DIMENSIONAL.</t>
  </si>
  <si>
    <t>ES NECESARIA LA AQSUISICION DE LA MARCA Y
MODELO INDICADOS, POR LO QUE ES ACESSORIO
DE CONTATOR DE LA MISMA MARCA, NO SERÁ
ADMITIDO OTRO MODELO POR INCAPATIBILIDAD
TECNICA Y DIMENSIONAL</t>
  </si>
  <si>
    <t>ORIGINAL - LA2-D22 - TELEMECANIQUE
ORIGINAL - LA2-DT2 (ANTIGA) - TELEMECANIQUE
ORIGINAL - LA2-DT2 - TELEMECANIQUE
ORIGINAL - LA2-D22 (ANTIGA) - TELEMECANIQUE
ORIGINAL - LAD-T2 (NOVA) - TELEMECANIQUE
ORIGINAL - LAD-T2 - TELEMECANIQUE
ORIGINAL - LD2-DT2 - TELEMECANIQUE</t>
  </si>
  <si>
    <t>30314 2.0</t>
  </si>
  <si>
    <t>715297</t>
  </si>
  <si>
    <t xml:space="preserve">| Sugestao PR=6.0
| Sugestao MAX=6.0
</t>
  </si>
  <si>
    <t>INTERRUPTOR EMB 1TEC BIP 220V 10A BR</t>
  </si>
  <si>
    <t>P:\Mfotos\Padronizadas\715297(A).jpg</t>
  </si>
  <si>
    <t>39040107</t>
  </si>
  <si>
    <t>DBIANCO - CONATEL</t>
  </si>
  <si>
    <t>25201.0</t>
  </si>
  <si>
    <t>CEMASOL COMERCIAL ELETRICA LTDA</t>
  </si>
  <si>
    <t>INTERRUPTOR, EMBUTIR;
TIPO MODULO;
NUMERO DE POLOS 2;
MATERIAL POLIPROPILENO;
TIPO DE ACIONAMENTO 1 TECLA;
TENSAO NOMINAL 220 V;
CORRENTE NOMINAL 10 A;
COR BRANCA.</t>
  </si>
  <si>
    <t>INTERRUPTOR, EMBUTIR;
TIPO MODULO;
NUMERO DE POLOS 2;
MATERIAL POLIPROPILENO;
TIPO DE ACCIONAMIENTO 1 TECLA;
TENSION NOMINAL 220 V;
CORRIENTE NOMINAL 10 A;
COLOR BLANCA;</t>
  </si>
  <si>
    <t>Referencia
Alumbra</t>
  </si>
  <si>
    <t>711090</t>
  </si>
  <si>
    <t xml:space="preserve">| Sugestao PR=10.0
| Sugestao MAX=61.0
</t>
  </si>
  <si>
    <t>TERMINAL ELET COMP CU 35X48MM</t>
  </si>
  <si>
    <t>P:\Mfotos\Padronizadas\711090(A).jpg</t>
  </si>
  <si>
    <t>630803 - MAGNET</t>
  </si>
  <si>
    <t>[20.0]</t>
  </si>
  <si>
    <t>30324 20.0
30311 10.0
30314 10.0
30412 8.0</t>
  </si>
  <si>
    <t>6522.0</t>
  </si>
  <si>
    <t>LICITAR COMERCIO DE EQUIPAMENTOS LT</t>
  </si>
  <si>
    <t>TERMINAL, ELETRICO COMPRESSAO;
TIPO ANEL;
COBRE ELETROLITICO;
PROTECAO SUPERFICIAL ESTANHADO;
BITOLA 35 mm2;
DIAMETRO DO FURO 12,5 mm;
COMPRIMENTO 48 mm.</t>
  </si>
  <si>
    <t>TERMINAL, ELECTRICO COMPRESION;
TIPO ANILLO;
COBRE ELECTROLITICO;
PROTECCION SUPERFICIAL ESTANADO;
SECCION 35 mm2;
DIAMETRO DEL AGUJERO 12,5 mm;
LARGO 48 mm.</t>
  </si>
  <si>
    <t>REFERENCIA:
630803 - MM MAGNET
AT7236 - Crimper</t>
  </si>
  <si>
    <t>ORIGINAL - SC(JGY)-35 - SHOP ELECTRIC
ORIGINAL - 630803 - MM MAGNET</t>
  </si>
  <si>
    <t>703495</t>
  </si>
  <si>
    <t xml:space="preserve">| Sugestao PR=170.0
| Sugestao MAX=1279.0
</t>
  </si>
  <si>
    <t>TOMADA IND SOBREP 2P+T 200/250V 16A 6H</t>
  </si>
  <si>
    <t>P:\Mfotos\Padronizadas\703495(A).jpg</t>
  </si>
  <si>
    <t>N-3006 - STECK</t>
  </si>
  <si>
    <t>[1683.0, 1056.0]</t>
  </si>
  <si>
    <t>30314 3323.0
30311 2.0</t>
  </si>
  <si>
    <t>TOMADA, INDUSTRIAL;
SOBREPOR;
CARCACA EM POLIAMIDA 6.6;
AUTO-EXTINGUIVEL;
ROSCA BSP 5/8" (16 MM);
DISTANCIA ENTRE PONTOS DE FIXACAO 109x60 mm;
VEDACAO EM NEOPRENE;
TERMINAIS EM LATAO;
3 POLOS (2P + T);
TENSAO 200/250 V;
CORRENTE 16 A;
TERRA EM 6 HORAS;
GRAU DE PROTECAO IP-44;
NORMAS TECNICAS APLICAVEIS ABNT NBR IEC 60309-1.</t>
  </si>
  <si>
    <t>TOMA, INDUSTRIAL;
SOBREPONER;
CARCAZA EN POLIAMMIDA 6.6;
AUTO-EXTINGUIBLE;
ROSCA BSP 5/8" (16 MM);
DISTANCIA ENTRE PUNTOS DE FIJACION 109x60 mm;
SELLO EN NEOPRENE;
TERMINALES EN LATON;
3 POLOS (2P + T);
TENSION 200/250 V;
CORRIENTE 16 A;
TIERRA EN 6 HORAS;
GRADO DE PROTECCION IP44;
NORMAS TECNICAS APLICABLES ABNT NBR IEC 60309-1.</t>
  </si>
  <si>
    <t>Referência:
N-3006 - Steck
Ajustar descritivo
ROSCA BSP 5/8" (16 MM);
DISTANCIA ENTRE PONTOS DE FIXACAO 109X60MM;</t>
  </si>
  <si>
    <t>Referencia:
N-3006 - Steck
Ajustar descritivo
ROSCA BSP 5/8" (16 MM);
DISTANCIA ENTRE PONTOS DE FIXACAO 109X60MM;</t>
  </si>
  <si>
    <t>39030285</t>
  </si>
  <si>
    <t>153397</t>
  </si>
  <si>
    <t>CHAVE ELET ROT COM 2POS 12CONT 10A</t>
  </si>
  <si>
    <t>P:\Mfotos\Padronizadas\153397(A).jpg</t>
  </si>
  <si>
    <t>39020303</t>
  </si>
  <si>
    <t>30315 2.0</t>
  </si>
  <si>
    <t>2819.0</t>
  </si>
  <si>
    <t>ELETRO COMERCIAL REYMASTER LTDA</t>
  </si>
  <si>
    <t>CHAVE, ELETRICA ROTATIVA;
TIPO COMUTADORA;
PARA BLOCO CONTATOS;
OPERACAO INDEPENDENTE DE IMPULSO;
CORRENTE NOMINAL DOS CONTATOS 10A EM 220 V;
FIXACAO FRONTAL;
TRAVA E CHAVE EXTRAIVEL;
NAS DUAS POSICOES;
NUMERO DE POSICOES 2;
ANGULO DE COMUTACAO 90 GRAUS;
NUMERO DE CONTATOS 12;
PROGRAMACAO POSICAO 1 6NA/6NF;
PROGRAMACAO POSICAO 2 6NA/6NF.</t>
  </si>
  <si>
    <t>LLAVE, ELECTRICA ROTATIVA;
TIPO CONMUTADORA;
PARA BLOQUE CONTACTOS;
OPERACION INDEPENDIENTE DE IMPULSO;
CORRIENTE NOMINAL DE CONTACTOS 10A EN 220 V;
FIJACION FRONTAL;
TRABA Y LLAVE EXTRAIBLE;
EN LAS DOS POSICIONES;
NUMERO DE POSICIONES 2;
ANGULO DE CONMUTACION 90 GRADOS;
NUMERO DE CONTACTOS 12;
PROGRAMACION POSICION 1 6NA/6NC;
PROGRAMACION POSICION 2 6NA/6NC.</t>
  </si>
  <si>
    <t>REFERENCIA:
YP 2/01(1X90GR)+E566 - ACE,</t>
  </si>
  <si>
    <t>ORIGINAL - YP-2/01+E566 - ACE</t>
  </si>
  <si>
    <t xml:space="preserve">| Sugestao PR=1
| Sugestao MAX=2.0
</t>
  </si>
  <si>
    <t>714020</t>
  </si>
  <si>
    <t>PLUGUE IND MACH 3P+T 250A 440/480V</t>
  </si>
  <si>
    <t>P:\Mfotos\Padronizadas\714020(A).jpg</t>
  </si>
  <si>
    <t>3928043600 - MARECHAL ELECTRIC</t>
  </si>
  <si>
    <t>[2.0]</t>
  </si>
  <si>
    <t>30315 1.0
30324 1.0
30412 1.0</t>
  </si>
  <si>
    <t>PLUGUE, INDUSTRIAL;
CONECTOR (MACHO);
CARCACA EM METAL;
4 POLOS (3P + T);
TENSAO 440/480 V;
CORRENTE 250 A;
GRAU DE PROTECAO IP-66/IP-67;
REFERENCIA 3928043600;
MARCA MARECHAL ELECTRIC.</t>
  </si>
  <si>
    <t>ENCHUFE, INDUSTRIAL;
CONECTOR (MACHO);
CARCASA EN METAL;
4 POLOS (3P + T);
TENSION 440/480 V;
CORRIENTE 250 A;
GRADO DE PROTECCON IP-66/IP-67;
REFERENCIA 3928043600;
MARCA MARECHAL ELECTRIC.</t>
  </si>
  <si>
    <t>É necessária a aquisição deste item na marca e modelo
especificados, por sua compatibilidade técnica e
dimensional.
Não sendo admitidas outros modelos de outras marcas.</t>
  </si>
  <si>
    <t>Es necesaria esta adquisición en la marca y modelo
especificados, por compatibilidad técnica y
dimensional.
No siendo admitidos, otros modelos de otras marcas.</t>
  </si>
  <si>
    <t>707991</t>
  </si>
  <si>
    <t>RELE TERM 150A 120/150A 1NA/1NC</t>
  </si>
  <si>
    <t>P:\Mfotos\Padronizadas\707991(A).jpg</t>
  </si>
  <si>
    <t>39020102</t>
  </si>
  <si>
    <t>ZB150-150KK OU XTOB150GC1S</t>
  </si>
  <si>
    <t>26091.0</t>
  </si>
  <si>
    <t>ECO AUTOMACAO INDUSTRIAL LTDA</t>
  </si>
  <si>
    <t>RELE, TERMICO;
CORRENTE NOMINAL 150 A;
CONTATO(S) AUXILIAR(ES) 1NA/1NF;
CORRENTE NOMINAL CONTATOS AUXILIARES 1,5A EM 240 V
(AC-15);
FAIXA DE AJUSTE 120 A 150 A;
AJUSTE DE OPERACAO 140 A;
BOTAO COM REARME MANUAL.</t>
  </si>
  <si>
    <t>RELE, TERMICO;
CORRIENTE NOMINAL 150 A;
CONTACTO(S) AUXILIAR(ES) 1NA/1NC;
CORRIENTE NOMINAL DE LOS CONTACTOS AUXILIARES 1,5A EN
240 V (AC-15);
RANGO DE AJUSTE 120 A 150 A;
AJUSTE DE OPERACION 140 A;
BOTON CON REARME MANUAL.</t>
  </si>
  <si>
    <t>ZB150-150KK ou XTOB150GC1S</t>
  </si>
  <si>
    <t>SUBSTITUTO - ZB150-150/KK - KLOCKNER-MOELLER
ORIGINAL - - - -
ORIGINAL - - - -</t>
  </si>
  <si>
    <t>686891</t>
  </si>
  <si>
    <t xml:space="preserve">| Alterar para ZP, CMM = 18.0
</t>
  </si>
  <si>
    <t>PLACA ESPEL 4X2" 2POS RJ45</t>
  </si>
  <si>
    <t>P:\Mfotos\Padronizadas\686891(A).jpg</t>
  </si>
  <si>
    <t>39030106</t>
  </si>
  <si>
    <t>[210.0]</t>
  </si>
  <si>
    <t>50141 298.0
52525 110.0
23141 40.0
30412 6.0</t>
  </si>
  <si>
    <t>PLACA, ESPELHO;
PARA SISTEMAS DE CABEAMENTO ESTRUTURADO;
FORMATO RETANGULAR;
TERMOPLASTICO;
COR BRANCA;
ABERTURA 2 POSICOES;
USO CONECTOR RJ45 FEMEA;
COMPRIMENTO 4 POLEGADAS;
LARGURA 2 POLEGADAS.</t>
  </si>
  <si>
    <t>TAPA, ESPEJO;
PARA SISTEMA DE CABLEADO ESTRUCTURADO;
FORMA RECTANGULAR;
TERMOPLASTICO;
COLOR BLANCA;
ABERTURA 2 POSICIONES;
USO CONECTOR RJ45 HEMBRA;
LARGO 4 PULGADAS;
ANCHO 2 PULGADAS.</t>
  </si>
  <si>
    <t>REFERENCIA:
SOLLAN 10210
101522 - Sollan</t>
  </si>
  <si>
    <t>713322</t>
  </si>
  <si>
    <t xml:space="preserve">| Sugestao MAX=7.0
</t>
  </si>
  <si>
    <t>DISJUNTOR TERMOMAG 2P 440V 2A 10KA C</t>
  </si>
  <si>
    <t>P:\Mfotos\Padronizadas\713322(A).jpg</t>
  </si>
  <si>
    <t>S202-C2 - ABB</t>
  </si>
  <si>
    <t>[5.0]</t>
  </si>
  <si>
    <t>30314 12.0
30412 2.0</t>
  </si>
  <si>
    <t>7474.0</t>
  </si>
  <si>
    <t>AUTOMACAO EQUIPAMENTOS INDUSTRIAIS</t>
  </si>
  <si>
    <t>DISJUNTOR;
TIPO TERMOMAGNETICO;
CAIXA MOLDADA ;
NAO EXTRAIVEL;
NUMERO DE POLOS 2;
CARACTERISTICAS DE OPERACAO MANUAL;
TIPO DE ACIONAMENTO ALAVANCA;
TENSAO DE ISOLAMENTO 440 V;
CORRENTE NOMINAL 2 A;
CAPACIDADE INTERRUP SIMETRICA 10 kA;
FREQUENCIA 50/60 Hz;
CURVA DE DISPARO C (5 A 10 X IN);
TIPO DE FIXACAO TRILHO DIN OU PARAFUSOS;
ALTURA 88 mm;
LARGURA 35 mm;
PROFUNDIDADE 69 mm;
CONFORME NORMA(S) TECNICA(S) IEC/EN 60947-2;
IEC/EN 606641;
REFERENCIA S202-C2;
MARCA ABB.</t>
  </si>
  <si>
    <t>DISYUNTOR;
TIPO TERMOMAGNETICO;
CAJA MOLDEADA ;
NO EXTRAIBLE;
NUMERO DE POLOS 2;
CARACTERISTICAS DE OPERACION MANUAL;
TIPO DE ACCIONAMIENTO PALANCA;
TENSION DE AISLAMIENTO 440 V;
CORRIENTE NOMINAL 2 A;
CAPACIDAD INTERRUP SIMETRICA 10 kA;
FRECUENCIA 50/60 Hz;
CURVA DE DISPARO C (5 A 10 X IN);
TIPO DE FIJACION RIEL DIN O TORNILLOS;
ALTURA 88 mm;
ANCHO 35 mm;
PROFUNDIDAD 69 mm;
CONFORME NORMA(S) TECNICA(S) IEC/EN 60947-2;
IEC/EN 606641;
REFERENCIA S202-C2;
MARCA ABB.</t>
  </si>
  <si>
    <t>É NECESSÁRIA AQUISIÇÃO DA MARCA E MODELO INDICADOS,
POIS É SOBRESSALENTE PARA ITEM DE MESMA MARCA/MODE-
LO INSTALADO NOS AUTOTRANSFORMADORES E  REGULADORES
REPOTENCIADOS DA SUBESTAÇÃO DA MARGEM DIREITA   (SE
MD), GARANTINDO A COMPATIBILIDADE E   PADRONIZAÇÃO.
PORTANTO, DADA AS CONDIÇÕES EXPOSTAS NÃO É POSSÍVEL
A AQUISIÇÃO / UTILIZAÇÃO DE MATERIAIS DE     OUTRAS
MARCAS / MODELOS.</t>
  </si>
  <si>
    <t>PIEZA DE RESERVA TECNICA PARA ITEM DE MISMA
MARCA/MODELO INSTALADO EN LOS AUTOTRANSFORMADORES Y
REGULADORES REPOTENCIADOS DE LA SUBESTACION DE LA
MARGEM DIRECHA (SE.MD), GARANTIZANDO LA COMPATIBILIDAD
Y PADRONIZACION. POR LO TANTO, DADA LAS CONDICIONES
NO ES POSSÍBLE LA AQUISICION / UTILIZACION DE MATERIAIS
DE OTRAS MARCAS / MODELOS.</t>
  </si>
  <si>
    <t>ORIGINAL - - - -
ORIGINAL - S202-C2 - ABB
SUBSTITUTO - S202-C2 - ABB</t>
  </si>
  <si>
    <t>714530</t>
  </si>
  <si>
    <t xml:space="preserve">| Sugestao PR=33.0
| Sugestao MAX=127.0
</t>
  </si>
  <si>
    <t>PROJETOR ILUM LED AL 50W 127/220V PT</t>
  </si>
  <si>
    <t>P:\Mfotos\Padronizadas\714530(A).jpg</t>
  </si>
  <si>
    <t>390101</t>
  </si>
  <si>
    <t>7012358 - LEDVANCE</t>
  </si>
  <si>
    <t>[104.0, 89.0]</t>
  </si>
  <si>
    <t>71423 117.0
51524 71.0
72423 51.0
30314 32.0
52524 6.0</t>
  </si>
  <si>
    <t>PROJETOR, LED;
MATERIAL DO CORPO ALIMINIO;
ACABAMENTO PINTURA ELETROSTATICA;
MATERIAL DA LENTE VIDRO;
ANGULO DE ABERTURA 100 grau;
POTENCIA DA LAMPADA 50 W;
TENSAO NOMINAL 127 / 220 Vca;
FLUXO LUMINOSO 4.500 lm;
INDICE DE REPRODUCAO DE COR MAIOR QUE 80;
TEMPERATURA DE COR 5000 K;
VIDA MEDIA 30.000 h;
GRAU DE PROTECAO IP-65.</t>
  </si>
  <si>
    <t>PROYECTOR, LED;
MATERIAL DEL CUERPO ALIMINIO;
ACABADO PINTURA ELECTROSTATICA;
MATERIAL DE LA LENTE VIDRIO;
ANGULO DE ABERTURA 100°;
POTENCIA DE LA LAMPARA 50 W;
TENSION NOMINAL 127 / 220 Vca;
FLUJO LUMINOSO 4.500 lm;
INDICE DE REPRODUCCION DE COLOR MAYOR QUE 80;
TEMPERATURA DE COLOR 5000 K;
VIDA MEDIA 30.000 H;
GRADO DE PROTECCION IP-65.</t>
  </si>
  <si>
    <t>REFERENCIA:
7012358 - LEDVANCE</t>
  </si>
  <si>
    <t>582042</t>
  </si>
  <si>
    <t>CONECTOR PARAL CU 2PARAF 67/107MM2</t>
  </si>
  <si>
    <t>P:\Mfotos\Padronizadas\582042(A).jpg</t>
  </si>
  <si>
    <t>30315 3.0</t>
  </si>
  <si>
    <t>26306.0</t>
  </si>
  <si>
    <t>ALEWATTS DISTRIBUIDORA DE MAT ELETR</t>
  </si>
  <si>
    <t>CONECTOR, PARALELO;
COBRE;
CONEXAO CABO A CABO;
CONDUTORES COBRE NU;
FIXACAO DOS CONDUTORES DOIS PARAFUSOS COM PORCA E
ARRUELAS EM ACO ZINCADO A QUENTE;
SECAO 67 A 107 mm2.</t>
  </si>
  <si>
    <t>CONECTOR, PARALELO;
COBRE;
CONEXION CABLE A CABLE;
CONDUCTOR COBRE DESNUDO;
FIJACION DE LOS CONDUCTORES CON DOS TORNOLLOS;
TUERCAS Y ARANDELAS EN ACERO ZIN CADO A FUEGO;
SECCION 67 A 107 mm2.</t>
  </si>
  <si>
    <t>258130</t>
  </si>
  <si>
    <t xml:space="preserve">| Sugestao PR=11.0
| Sugestao MAX=26.0
</t>
  </si>
  <si>
    <t>TOMADA BLIND 3P 15A 380V RED 4ENT</t>
  </si>
  <si>
    <t>P:\Mfotos\Padronizadas\258130(A).jpg</t>
  </si>
  <si>
    <t>[42.0]</t>
  </si>
  <si>
    <t>30314 30.0</t>
  </si>
  <si>
    <t>TOMADA, BLINDADA;
POLO(S) 3(2+TERRA);
CORRENTE NOMINAL 15 A;
TENSAO NOMINAL 380 V;
CAIXA LIGA DE ALUMINIO PINTADO NA COR CINZA;
PROTECAO IP-53;
FORMATO CAIXA REDONDA;
4 ENTRADAS ROSQUEADAS DE 3/4 POLEGADA NPT;
3 COM TAMPAO DE PLASTICO;
TAMPA MOLA E ABERTURA DE BAIXO PARA CIMA;
ORELHAS DE FIXACAO REFORCADAS;
CONEXAO DOS CABOS POR PARAFUSOS;
COM PINO TERRA LOCALIZADO A ESQUERDA;
POLARIZACAO PERMANENTE ASSEGURADA POR DIAMETROS
DIFERENTES DOS PINOS;
FIXACAO DA TOMADA PELA BASE COM PARAFUSOS;
NORMA IEC-60309.</t>
  </si>
  <si>
    <t>TOMA, BLINDADA;
POLO(S) 3(2+TIERRA);
CORRIENTE NOMINAL 15 A;
TENSION NOMINAL 380 V;
CAJA ALEACION DE ALUMINIO PINTADO EN COLOR GRIS;
PROTECCION IP-53;
FORMA CAJA REDONDA;
4 ENTRADAS ROSCABLE DE 3/4 PULGADA NPT;
3 CON TAPON DE PLASTICO;
TAPA RESORTE Y ABERTURA DE ABAJO PARA ARRIBA;
OREJAS DE FIJACION REFORZADAS;
CONEXION DE LOS CABLES POR TORNILLOS;
CON TERMINAL TIERRA LOCALIZADO A LA IZQUIERDA;
POLARIZACION ASEGURADA POR DIAMETROS DIFERENTES DE
LOS TERMINALES;
FIJACION DE LA TOMA POR LA BASE CON TORNILLOS;
NORMA IEC-60309.</t>
  </si>
  <si>
    <t>REFERENCIA
CONEX CX/R20TR-315
PETERCO R20TR/315
NAVILLE  - ER20TR/315N</t>
  </si>
  <si>
    <t>714011</t>
  </si>
  <si>
    <t xml:space="preserve">| Sugestao PR=2.0
| Sugestao MAX=3.0
</t>
  </si>
  <si>
    <t>EMPUNHADURA PLUG IND 3P+T 250A 440/480V</t>
  </si>
  <si>
    <t>P:\Mfotos\Padronizadas\714011(A).jpg</t>
  </si>
  <si>
    <t>5K6P0D50 - MARECHAL ELECTRIC</t>
  </si>
  <si>
    <t>EMPUNHADURA;
TIPO RETA;
PARA PLUGUE METALICO 3P+T, 250 A, 440/480 V;
MATERIAL METAL;
COR AZUL;
MODELO DS2;
REFERENCIA 5K6P0D50;
MARCA MARECHAL ELECTRIC.</t>
  </si>
  <si>
    <t>EMPUNADURA;
TIPO RECTA;
PARA ENCHUFE METALICO 3P+T;
250 A;
440/480 V;
METAL;
COlOR AZUL;
MODELO DS2;
REFERENCIA 5K6P0D50;
MARCA MARECHAL ELECTRIC.</t>
  </si>
  <si>
    <t>26050328</t>
  </si>
  <si>
    <t>713787</t>
  </si>
  <si>
    <t xml:space="preserve">| Sugestao PR=7.0
| Sugestao PR=7.0
| Sugestao MAX=7.0
</t>
  </si>
  <si>
    <t>LUMINARIA IND RED ACRIL 400W 621X582MM</t>
  </si>
  <si>
    <t>P:\Mfotos\Padronizadas\713787(A).jpg</t>
  </si>
  <si>
    <t>IAC22AL - OLIVO</t>
  </si>
  <si>
    <t>51524 10.0</t>
  </si>
  <si>
    <t>LUMINARIA, INDUSTRIAL;
TIPO REDONDA, PRISMATICA, ABERTA (SEM VIDRO);
MATERIAL DO REFLETOR ACRILICO;
POTENCIA DA LAMPADA 400 W;
ACABAMENTO PINTURA ELETROSTATICA A PO;
COR BRANCO;
SOQUETE BASE E-40;
COMPOSICAO ALOJAMENTO EM ALUMINIO, TIPO TACA E
GANCHO;
FIXACAO EM PERFILADO;
ALTURA 621 mm;
LARGURA 582 mm.</t>
  </si>
  <si>
    <t>LUMINARIA, INDUSTRIAL;
TIPO REDONDA, PRISMATICA, ABIERTA (SIN VIDRIO);
MATERIAL DEL REFLECTOR ACRILICO;
POTENCIA DE LA LAMPARA 400 W;
ACABADO PINTURA ELECTROSTATICA A POLVO;
COLOR BLANCO;
ZOCALO BASE E-40;
COM POSICION ALOJAMIENTO EN ALUMINIO;
TIPO TAZA Y GANCHE;
FIJACION EN PERFIL;
ALTURA 621 mm;
ANCHO 582 mm.</t>
  </si>
  <si>
    <t>Marca referencia:
IAC22AL - OLIVO</t>
  </si>
  <si>
    <t>716618</t>
  </si>
  <si>
    <t>CONECTOR INSER ATER 25KV 200A</t>
  </si>
  <si>
    <t>P:\Mfotos\Padronizadas\716618(A).jpg</t>
  </si>
  <si>
    <t>LE225CC06 - EATON COOPER</t>
  </si>
  <si>
    <t>71423 16.0</t>
  </si>
  <si>
    <t>CONECTOR;
TIPO KIT DE INSERCAO COTOVELO;
CLASSE DE TENSAO 25 kV;
CORRENTE NOMINAL 200 A;
SECAO NOMINAL 1/0 AWM 50 mm2;
FAIXA DE DIAMETROS DO CABO 0,750 - 1,080".</t>
  </si>
  <si>
    <t>CONECTOR;
TIPO KIT DE INSERCION CODO;
CLASE DE TENSION 25 kV;
CORRIENTE NOMINAL 200 A;
SECION NOMINAL 1/0 AWM 50 mm2;
RANGO DE DIAMETROS DEL CABLE 0,750 - 1,080".</t>
  </si>
  <si>
    <t>Referência:
LE225CC06 - EATON COOPER</t>
  </si>
  <si>
    <t>Referencia:
LE225CC06 - EATON COOPER</t>
  </si>
  <si>
    <t>234222</t>
  </si>
  <si>
    <t xml:space="preserve">| Sugestao PR=20.0
| Sugestao MAX=88.0
</t>
  </si>
  <si>
    <t>TERMINAL ELET COMP TUB 150MM2 13,16MM</t>
  </si>
  <si>
    <t>P:\Mfotos\Padronizadas\234222(A).jpg</t>
  </si>
  <si>
    <t>R30012 - HOLLINGSWORTH</t>
  </si>
  <si>
    <t>[90.0]</t>
  </si>
  <si>
    <t>30315 70.0
30412 60.0
71423 20.0
30311 10.0
30314 2.0</t>
  </si>
  <si>
    <t>TERMINAL, ELETRICO COMPRESSAO;
TIPO ANEL TUBULAR;
COBRE ELETROLITICO;
PROTECAO SUPERFICIAL ESTANHADO;
COM UM FURO DE 13,16 mm PARA PARAFUSO DE 1/2 POLEGADA;
CORPO FECHADO;
DIMENSOES 72,00X30,00X16,50X20,50X4 mm;
FAIXA DE BITOLAS 150 mm² (300/MCM).</t>
  </si>
  <si>
    <t>TERMINAL, ELECTRICO COMPRESION;
TIPO ANILLO TUBULAR;
COBRE ELECTROLITICO;
PROTECCION SUPERFICIAL ESTANADO;
CON UN AGUJERO DE 13,16 mm PARA TORNILLO DE 1/2 PULGADA;
CUERPO CERRADO;
DIMENSIONES 72,00X30,00X16,50X20,50X4 mm;
FAJA DE LA SECCION 150 mm² (300/MCM).</t>
  </si>
  <si>
    <t>REFERENCIA:
R 30012 - hollingsworth
TM-150-12 - INTELLI</t>
  </si>
  <si>
    <t>704138</t>
  </si>
  <si>
    <t xml:space="preserve">| Alterar para ZP, CMM = 128.0
</t>
  </si>
  <si>
    <t>TERMINAL ELET COMP TUB DUPL 1,5MM2 VM</t>
  </si>
  <si>
    <t>P:\Mfotos\Padronizadas\704138(A).jpg</t>
  </si>
  <si>
    <t>39030202</t>
  </si>
  <si>
    <t>H 1.5/16 - CONEXEL</t>
  </si>
  <si>
    <t>[500.0]</t>
  </si>
  <si>
    <t>30314 680.0
30313 300.0
30412 300.0
30311 100.0
52612 100.0</t>
  </si>
  <si>
    <t>TERMINAL, ELETRICO COMPRESSAO;
TIPO TUBULAR;
DUPLO (2 CONDUTOR);
COM ANEL;
TERMINAL COBRE;
PROTECAO SUPERFICIAL ESTANHADO;
ISOLADO;
CORPO FECHADO;
ISOLACAO DE POLIPROPILENO RESISTENTE ATE 105 GR/C;
COR VERMELHA;
DIMENSOES 16,0X8,0X 2,2 mm;
SECAO NOMINAL DO CONDUTOR 1,5 mm2.</t>
  </si>
  <si>
    <t>TERMINAL, ELECTRICO COMPRESION;
TIPO TUBULAR;
DOBLE (2 CONDUCTOR);
CON ANILLO;
TERMINAL COBRE;
PROTECCION SUPERFICIAL ESTANADO;
AISLADO;
CUERPO CERRADO;
AISLAMIENTO DE POLIPROPILENO RESISTENTE HASTA 105 °C;
COLOR ROJO;
DIMENSIONES 16,0X8,0X2,2 mm;
SECCION NOMINAL DEL CONDUCTOR 1,5 mm2.</t>
  </si>
  <si>
    <t>REFERENCIA:
H 1.5/16 Vermelho - CONEXEL</t>
  </si>
  <si>
    <t>REFERENCIA:
H 1.5/16 Rojo - CONEXEL</t>
  </si>
  <si>
    <t>66460</t>
  </si>
  <si>
    <t xml:space="preserve">| Sugestao PR=515.0
| Sugestao MAX=1359.0
</t>
  </si>
  <si>
    <t>LAMPADA VAP MET TUB E-40 400W</t>
  </si>
  <si>
    <t>P:\Mfotos\Padronizadas\66460(A).jpg</t>
  </si>
  <si>
    <t>U12</t>
  </si>
  <si>
    <t>39010201</t>
  </si>
  <si>
    <t>71423 1253.0
30314 26.0
51524 24.0</t>
  </si>
  <si>
    <t>LAMPADA;
TIPO VAPOR METALICO;
TIPO DE BULBO TUBULAR;
ACABAMENTO DO BULBO CLARO;
TIPO DE BASE E-40;
TENSAO NOMINAL 125 V;
POTENCIA NOMINAL 400 W;
FLUXO LUMINOSO MINIMO 32.000 LM;
INDICE REPRODUCAO DE COR (IRC) MAIOR QUE 70;
TEMPERATURA DE COR 4.500 K (+ 500);
DIAMETRO DO BULBO MINIMO 47 mm;
DIAMETRO DO BULBO MAXIMO 65 mm;
COMPRIMENTO TOTAL 283 mm;
VIDA UTIL MINIMA 15.000 H.</t>
  </si>
  <si>
    <t>LAMPARA;
TIPO VAPOR METALICO;
TIPO DEL BULBO TUBULAR;
ACABADO DEL BULBO CLARO;
TIPO DE BASE E-40;
TENSION NOMINAL 125 V;
POTENCIA NOMINAL 400 W;
FLUJO LUMINOSO MINIMO 32.000 LM;
INDICE REPROD CROMATICA (IRC) MAIOR QUE 70;
TEMPERATURA DEL COLOR 4.500 K (+ 500);
DIAMETRO AMPOLLA MINIMA 47 mm;
DIAMETRO AMPOLLA MAXIMA 65 mm;
LONGITUD TOTAL 283 mm;
VIDA UTIL MINIMA 15.000 H.</t>
  </si>
  <si>
    <t>Sugerimos que seja adquirido para este item
REF-  HPI T PHILIPS
      HQI-T 400W/D - OSRAM
      MT24015 -  EMPALUX</t>
  </si>
  <si>
    <t>Sugerimos que sea adquirido para este item
REF-  HPI T PHILIPS
      HQI-T 400W/D - OSRAM
      MT24015 -  EMPALUX</t>
  </si>
  <si>
    <t>709895</t>
  </si>
  <si>
    <t xml:space="preserve">| Sugestao PR=34.0
| Sugestao MAX=59.0
</t>
  </si>
  <si>
    <t>BATERIA ELET LI-ION RECARREG 3,7VCC</t>
  </si>
  <si>
    <t>P:\Mfotos\Padronizadas\709895(A).jpg</t>
  </si>
  <si>
    <t>S24</t>
  </si>
  <si>
    <t>26010201</t>
  </si>
  <si>
    <t>PN: 10000058 - MODEL: RTR001F01</t>
  </si>
  <si>
    <t>30313 71.0
30411 3.0</t>
  </si>
  <si>
    <t>19216.0</t>
  </si>
  <si>
    <t>A.F.H. COMERCIO E SERVICOS TECNICOS</t>
  </si>
  <si>
    <t>BATERIA, ELETRICA SECA;
RECARGAVEL;
PARA TMR MODELO G566;
SISTEMA ELETROQUIMICO LI-ION;
FORMATO RETANGULAR;
INVOLUCRO PLASTICO;
TIPO(S) DE TERMINAL(IS) PLANO POR PRESSAO;
CAPACIDADE NOMINAL MINIMA 1100 mA/h 4,1 Wh;
TENSAO NOMINAL 3,7 Vcc;
LARGURA 34 mm;
COMPRIMENTO 52 mm;
ESPESSURA 5,7 mm.</t>
  </si>
  <si>
    <t>BATERIA, ELECTRICA SECA;
RECARREGABLE;
PARA TMR MODELO G566;
SISTEMA ELECTROQUIMICO LI-ION;
FORMA RECTANGULAR;
ENVOLTORIO PLASTICO;
TIPO(S) DE TERMINAL(ES) PLANO POR PRESION;
CAPACIDAD NOMINAL MINIMA 1100 mA/h 4,1 Wh;
TENSION NOMINAL 3,7 Vcc;
ANCHO 34 mm;
LARGO 52 mm;
ESPESOR 5,70 mm.</t>
  </si>
  <si>
    <t>REQUISITOS DE COMPRAS SUSTENTAVEIS
A bateria será utilizada
no aparelho G3566 - NEC
Referencia Sugerida:
PN: 10000058
Model: RTR001F01
COM REQUISITOS DE COMPRAS SUSTENTAVEIS</t>
  </si>
  <si>
    <t xml:space="preserve"> REQUISITOS DE COMPRAS SUSTENTABLES
A bateria será utilizada
en el aparato G566 - NEC
Referencia Sugerida:
PN: 10000058
Model: RTR001F01
CON REQUISITOS DE COMPRAS SUSTENTABLES</t>
  </si>
  <si>
    <t>516465</t>
  </si>
  <si>
    <t xml:space="preserve">| Sugestao PR=308.0
| Sugestao MAX=1053.0
</t>
  </si>
  <si>
    <t>REATOR VAP SOD INT AFP 250W 220V 50HZ</t>
  </si>
  <si>
    <t>P:\Mfotos\Padronizadas\516465(A).jpg</t>
  </si>
  <si>
    <t>39010302</t>
  </si>
  <si>
    <t>71423 1426.0</t>
  </si>
  <si>
    <t>REATOR, LAMPADA VAPOR SODIO;
USO INTERNO COM IGNITOR;
CAPACITOR FATOR DE POTENCIA ALTO;
POTENCIA NOMINAL 250 W;
TENSAO NOMINAL 220 V;
FREQUENCIA NOMINAL 50HZ.
INTRAL / MODELO: 01132-RVSI 250/52</t>
  </si>
  <si>
    <t>REACTOR, LAMPARA VAPOR SODIO;
USO INTERNO CON ARRANCADOR;
CAPACITOR FACTOR DE POTENCIA ALTO;
POTENCIA NOMINAL 250 W;
TENSION NOMINAL 220 V;
FRECUENCIA NOMINAL 50HZ.
INTRAL / MODELO: 01132-RVSI 250/52</t>
  </si>
  <si>
    <t>Garantia: 24 meses</t>
  </si>
  <si>
    <t>É necessária aquisição do reator na marca e modelo indicada por se
tratar de material padronizado nas instalações das luminárias da margem
direita e área industrial da Itaipu Binacional, desta maneira garante a
compatibilidade e procedimentos de manutenção com menor custo de hora
homem envolvida seja por falha da vida útil ou nova instalação,
sobretudo simplificar a gestão de sobressalentes no estoque.</t>
  </si>
  <si>
    <t>Es necesario adquirir la marca y modelo indicados por tratarse de
material padronizado en las instalaciones de iluminación en la margem
direcha del el área industrial de Itaipu Binacional, de esta forma
garantizar la compatibilidad y procedimientos de mantenimiento con menor
custo de la hora del Hombre involucrado por  falta de vida útil o nueva
instalación, sobre todo para simplificar la gestión de materiales del
stock.</t>
  </si>
  <si>
    <t>294039</t>
  </si>
  <si>
    <t xml:space="preserve">| Sugestao PR=37.0
| Sugestao MAX=94.0
</t>
  </si>
  <si>
    <t>CAIXA DERIV EXP RETANG AL T NPT 1"</t>
  </si>
  <si>
    <t>P:\Mfotos\Padronizadas\294039(A).jpg</t>
  </si>
  <si>
    <t>[75.0]</t>
  </si>
  <si>
    <t>30412 127.0
30314 31.0
52612 8.0
52524 4.0</t>
  </si>
  <si>
    <t>CAIXA, DERIVACAO EXPOSTA;
FORMATO RETANGULAR;
ALUMINIO FUNDIDO;
ACABAMENTO PINTADO NA COR CINZA;
A PROVA DE TEMPO;
UMIDADE;
GASES;
VAPORES E POS;
ENTRADAS 3;
TIPO T;
TAMPA DE INSPECAO E JUNTA DE VEDACAO;
ROSCA NPT;
DIAMETRO NOMINAL 1 POLEGADA.</t>
  </si>
  <si>
    <t>CAJA, DERIVACION EXPUESTA;
FORMA RECTANGULAR;
ALUMINIO FUNDIDO;
ACABADO PINTADO EN COLOR GRIS;
A PRUEBA DE TIEMPO;
HUMEDAD;
GASES;
VAPORES Y POLVOS;
ENTRADAS 3;
TIPO T;
TAPA DE INSPECCION Y JUNTA DE VEDACION;
ROSCA NPT;
DIAMETRO NOMINAL 1 PULGADA.</t>
  </si>
  <si>
    <t>CAIXA DERIVAÇÃO TIPO T +
TAMPA DE INSPECAO E JUNTA DE VEDACAO;</t>
  </si>
  <si>
    <t>CAJA TIPO T +
TAPA DE INSPECCION Y JUNTA DE VEDACION;</t>
  </si>
  <si>
    <t>315699</t>
  </si>
  <si>
    <t xml:space="preserve">| Alterar para ZP, CMM = 120.0
</t>
  </si>
  <si>
    <t>TERMINAL ELET COMP TUB 16MM2 6,73MM</t>
  </si>
  <si>
    <t>P:\Mfotos\Padronizadas\315699(A).jpg</t>
  </si>
  <si>
    <t>30314 303.0
30412 303.0
51525 200.0
72423 200.0
71423 127.0</t>
  </si>
  <si>
    <t>TERMINAL, ELETRICO COMPRESSAO;
TIPO ANEL TUBULAR;
COBRE ELETROLITICO;
PROTECAO SUPERFICIAL ESTANHADO;
COM UM FURO DE 6,73 mm;
CORPO FECHADO;
FAIXA DE BITOLAS 16 mm2 ( 4AWG ).</t>
  </si>
  <si>
    <t>TERMINAL, ELECTRICO COMPRESION;
TIPO ANILLO TUBULAR;
COBRE ELETROLITICO;
PROTECCION SUPERFICIAL ESTANADO;
CON UN AGUJERO DE 6,73 mm;
CUERPO CERRADO;
FAJA DE LA SECCION 16 mm2 ( 4 AWG ).</t>
  </si>
  <si>
    <t>REFERENCIA
INTELLI TM-16-6</t>
  </si>
  <si>
    <t>714728</t>
  </si>
  <si>
    <t xml:space="preserve">| Sugestao PR=7.0
| Sugestao MAX=43.0
</t>
  </si>
  <si>
    <t>DISJUNTOR TERMOMAG 1P 400V 50A C</t>
  </si>
  <si>
    <t>P:\Mfotos\Padronizadas\714728(A).jpg</t>
  </si>
  <si>
    <t>5SY6150-7 - SIEMENS</t>
  </si>
  <si>
    <t>[19.0]</t>
  </si>
  <si>
    <t>71423 34.0</t>
  </si>
  <si>
    <t>115710.0</t>
  </si>
  <si>
    <t>ENRIQUE RAMON CAMBRACA</t>
  </si>
  <si>
    <t>DISJUNTOR;
TIPO MINIATURA (MINI DISJUNTOR);
TIPO DO DISPARADOR TERMOMAGNETICO;
NUMERO DE POLOS 1;
CARACTERISTICAS DE OPERACAO MANUAL;
TIPO DE ACIONAMENTO ALAVANCA;
TIPO DE CONEXAO PRENSA CABO;
TENSAO NOMINAL 400 V;
CORRENTE NOMINAL 50 A;
CAP.CURTO-CIRCUTO NOMINAL(Icn) 6 kA;
FREQUENCIA 50/60 Hz;
ELEMENTO TERMICO FIXO;
ELEMENTO MAGNETICO FIXO;
CURVA DE DISPARO C;
FIXACAO TRILHO DIN 35 mm;
LARGURA 18 mm;
NORMAS TECNICAS APLICAVEIS ABNT NBR IEC 60898.</t>
  </si>
  <si>
    <t>DISYUNTOR;
TIPO MINIATURA (NINI DISYUNTOR);
TIPO DEL DISPARADOR TERMOMAGNETICO;
NUMERO DE POLOS 1;
CARACTERISTICAS DE OPERACION MANUAL;
TIPO DE ACCIONAMIENTO PALANCA;
TIPO DE CONEXION PRENSA CABLE;
TENSION NOMINAL 400 V;
CORRIENTE NOMINAL 50 A;
PODER DE CORTE NOMINAL (Icn) 6 kA;
FRECUENCIA 50/60 Hz;
ELEMENTO TERMICO FIJO;
ELEMENTO MAGNETICO FIJO;
CURVA DE DISPARO C;
FIJACION RIEL DIN 35 mm;
ANCHO 18 mm;
NORMAS TECNICAS APLICABLES ABNT NBR IEC 60898.</t>
  </si>
  <si>
    <t>REFERENCIA:
ABB - SH201-C50
ABB - S201-C50
SIEMENS - 5SY6150-7
BKN 1P C50A - LS</t>
  </si>
  <si>
    <t>656046</t>
  </si>
  <si>
    <t xml:space="preserve">| Sugestao PR=1.0
</t>
  </si>
  <si>
    <t>TERMOMETRO EXPAN REM 100°C 100MM 3M</t>
  </si>
  <si>
    <t>P:\Mfotos\Padronizadas\656046(A).jpg</t>
  </si>
  <si>
    <t>39020139</t>
  </si>
  <si>
    <t>TMS IN 100/2 - Q10 A1 Q5 060 60LM 0-100°C XFW - WILLY ASHCROFT</t>
  </si>
  <si>
    <t>30311 4.0</t>
  </si>
  <si>
    <t>TERMOMETRO, EXPANSAO;
TIPO LEITURA REMOTA;
MATERIAL DA CAIXA ACO INOX;
MONTAGEM EM SUPERFICIE FLANGE TRASEIRO;
EXECUCAO CAPILAR INFERIOR;
TIPO DE ENCHIMENTO SEM ENCHIMENTO DE LIQUIDO;
TIPO DO ELEMENTO SENSOR BULBO;
MATERIAL DO SENSOR COBRE;
MATERIAL DO CAPILAR COBRE, PROTECAO DO CAPILAR,,
CORDOALHA EM COBRE;
MATERIAL DO VISOR VIDRO PLANO;
MOSTRADOR FUNDO BRANCO, MARCACAO EM PRETO, NUMERO A
CADA 10 °C;
ESCALA 0 A 100 ºC;
GRADUACAO 1 ºC;
TOLERANCIA +/-1% (FUNDO DE ESCALA);
DIAMETRO NOMINAL 100 mm;
COMPRIMENTO DO SENSOR 150 mm;
DIAMETRO DO SENSOR 12,7 mm;
CONEXAO ROSCA MACHO 1/2 POLEGADA BSP, AJUSTAVEL AO
CAPILAR;
COMPRIMENTO DO CAPILAR 3000 mm.</t>
  </si>
  <si>
    <t>TERMOMETRO, EXPANSION;
TIPO LECTURA REMOTA;
MATERIAL DE CAJA ACERO INOXIDABLE;
MONTAJE EN SUPERFICIE BRIDA TRASERA;
EJECUCION CAPILAR INFERIOR;
TIPO DE RELLENO SIN RELLENO DE LIQUIDO;
ELEMENTO SENSOR AMPOLLA;
MATERIAL DEL SENSOR COBRE;
MATERIAL DEL CAPILAR COBRE, PROTECCION DEL CAPILAR
CORDOALHA EN COBRE;
MATERIAL DEL VISOR VIDRIO PLANO;
MOSTRADOR FONDO BLANCO, MARCACION EN NEGRO, NUMERO A
CADA 10 °C;
ESCALA 0 A 100 ºC;
GRADUACION 1 ºC;
TOLERANCIA +/-1% (FONDO DE ESCALA);
DIAMETRO NOMINAL 100 mm;
LARGO DEL SENSOR 150 mm;
DIAMETRO DEL SENSOR 12,7 mm;
CONEXION ROSCA MACHO 1/2 PULGADA BSP, AJUSTABLE AL
CAPILAR;
LARGO DEL CAPILAR 3000 mm.</t>
  </si>
  <si>
    <t>REFERENCIA:
TMS IN 100/2 - Q10 A1 Q5 060 60LM 0-100°C XFW
FABRICANTE:
WILLY ASHCROFT</t>
  </si>
  <si>
    <t>ORIGINAL - TMS IN 100/2 - Q10 A1 Q5 060 60LM 0-100° - WILLY / ASHCROFT</t>
  </si>
  <si>
    <t>269492</t>
  </si>
  <si>
    <t xml:space="preserve">| Alterar para ZM
| Sugestao PR=900.0
| Sugestao MAX=0
</t>
  </si>
  <si>
    <t>TERMINAL ELET COMP TUB 2,5MM2 AZ</t>
  </si>
  <si>
    <t>P:\Mfotos\Padronizadas\269492(A).jpg</t>
  </si>
  <si>
    <t>[3410.0]</t>
  </si>
  <si>
    <t>30314 3830.0
30412 1610.0
72423 810.0
30311 300.0
52630 100.0</t>
  </si>
  <si>
    <t>26325.0</t>
  </si>
  <si>
    <t>RB MAIS SUPRIMENTOS LTDA</t>
  </si>
  <si>
    <t>TERMINAL, ELETRICO COMPRESSAO;
TIPO TUBULAR;
LATAO;
PROTECAO SUPERFICIAL ESTANHADO;
ISOLADO;
CORPO FECHADO;
ISOLACAO DE NYLON;
COR AZUL;
DIMENSOES 15,7X3,9X2,6 mm;
BITOLA 2,5 mm2.</t>
  </si>
  <si>
    <t>TERMINAL, ELECTRICO COMPRESION;
TIPO TUBULAR;
LATON;
PROTECCION SUPERFICIAL ESTANADO;
AISLADO;
CUERPO CERRADO;
AISLACION CON NYLON;
COLOR AZUL;
DIMENSIONES 15,7X3,9X2,6 mm;
SECCION 2,5 mm2.</t>
  </si>
  <si>
    <t>REFERENCIA:
INTELLI
TI-2,5</t>
  </si>
  <si>
    <t>713868</t>
  </si>
  <si>
    <t>LAMPADA LED SPOT 9,5W 110/220V 2700K</t>
  </si>
  <si>
    <t>P:\Mfotos\Padronizadas\713868(A).jpg</t>
  </si>
  <si>
    <t>MASTERLED SPOT PAR30 9,5W 220V - PHILIPS</t>
  </si>
  <si>
    <t>LAMPADA LED, ILUMINACAO;
TIPO SPOT;
TIPO DE BULBO PAR30;
ANGULO 25 grau;
VIDA UTIL 25.000h;
INDICE REPRODUCAO DE COR (IRC) 80;
TEMPERATURA DE COR 2.700K;
FLUXO LUMINOSO MINIMO 650 lm;
POTENCIA 9,5W;
TENSAO NOMINAL DE ALIMENTACAO 110-220;
FREQUENCIA 50/60HZ;
DIAMETRO 100 mm;
COMPRIMENTO 100 mm.</t>
  </si>
  <si>
    <t>LAMPARA LED, ILUMINACION;
TIPO SPOT;
TIPO DEL BULBO PAR30;
ANGULO 25 deg;
VIDA UTIL 25.000h;
INDICE REPROD CROMATICA (IRC) 80;
TEMPERATURA DEL COLOR 2.700K;
FLUJO LUMINOSO MINIMO 650 lm;
POTENCIA 9,5W;
TENSION NOMINAL ALIMENTACION 110-220;
FRECUENCIA 50/60HZ;
DIAMETRO 100 mm;
LARGO 100 mm.</t>
  </si>
  <si>
    <t>REFERENCIA:
SPOT PAR30 9,5W 220V - PHILIPS
COM REQUISITOS DE COMPRAS SUSTENTAVEIS</t>
  </si>
  <si>
    <t>REFERENCIA:
SPOT PAR30 9,5W 220V - PHILIPS
CON REQUISITOS DE COMPRAS SUSTENTABLES</t>
  </si>
  <si>
    <t>656437</t>
  </si>
  <si>
    <t>VIDRO LIS CERAM 900°/ 4MM PROJ IZM</t>
  </si>
  <si>
    <t>P:\Mfotos\Padronizadas\656437(A).jpg</t>
  </si>
  <si>
    <t>390103</t>
  </si>
  <si>
    <t>30314 10.0</t>
  </si>
  <si>
    <t>24703.0</t>
  </si>
  <si>
    <t>VIDRAK VISORES DE VIDROS INDUSTRIAI</t>
  </si>
  <si>
    <t>VIDRO;
TIPO LISO;
ESPESSURA 4 mm;
OBS: FABRICADO EM CERAMICA;
TEMPERATURA 900 °C;
USO PROJETOR ILUMINACAO MODELOS IZM-D;
2000 W IZM-M;
IZM-E;
2000 W IZM-C MARCA INDALUX.</t>
  </si>
  <si>
    <t>VIDRIO;
TIPO LISO;
ESPESOR 4 mm;
OBS: FABRICADO EN CERAMICA;
TEMPERATURA 900 °C;
USO PROYECTOR ILUMINACION MODELOS IZM-D;
2000 W IZM-M;
IZM-E;
2000 W IZM-C;
MARCA INDALUX.</t>
  </si>
  <si>
    <t>POR SE TRATAR DE SOBRESSALENTE, SOMENTE O PRODUTO DA MARCA INDICADA
POSSUI AS CARACTERISTICAS TECNICAS E DIMENSIONAIS REQUERIDAS PARA A
INSTALACAO E CONFIABILIDADE EM SEU DESEMPENHO NOS EQUIPAMENTOS DO
SISTEMA DE ILUMINACAO MONUMENTAL - ESPETACULO DE SOM E LUZ DA CHI, NÃO
SENDO POSSIVEL ADQUIRIR COMPONENTE SIMILAR.</t>
  </si>
  <si>
    <t>POR TRATARSE DE UN SOBRESALIENTE, SOLAMENTE EL PRODUCTO DE LA MARCA
INDICADA POSEE LAS CARACTERISTICAS TECNICAS Y DIMENSIONALES REQUERIDAS
PARA LA INSTALACION Y CONFIABILIDAD EN SU DESEMPEÑO EN LOS EQUIPAMENTOS
DEL SISTEMA DE ILUMINACCION MONUMENTAL - ESPECTACULO DE SONIDO Y LUCES
DE CHI, NO SIENDO POSIBLE ADQUIRIR COMPONENTE SIMILAR.</t>
  </si>
  <si>
    <t>637238</t>
  </si>
  <si>
    <t>| Solicitar cotação do material com os fornecedores do grupo 26040304
Prezado [Fornecedor],
Solicito cotação de 3 unidades do material:
CONVERSOR, TENSAO;
TIPO CC/CC;
PARA ANUNCIADOR ULP;
GRUPO DIESEL;
SISTEMA ANTI-INCENDIO;
TENSAO NOMINAL DE ENTRADA 100/180 Vcc;
TENSAO DE SAIDA DUPLA 15 Vcc;
REGULACAO TENSAO SAIDA 1%;
EFICIENCIA TIPICA CARGA 87%;
TENSAO SAIDA RIP-PLE 50 mVPP;
POTENCIA 100 W (50+50 W).</t>
  </si>
  <si>
    <t>CONVERSOR TENS CC/CC 100/180V 15V 100W</t>
  </si>
  <si>
    <t>P:\Mfotos\Padronizadas\637238(A).jpg</t>
  </si>
  <si>
    <t>26040304</t>
  </si>
  <si>
    <t>PC15D - PICO ELECTRONICS</t>
  </si>
  <si>
    <t>30324 3.0</t>
  </si>
  <si>
    <t>200070.0</t>
  </si>
  <si>
    <t>PICO ELECTRONICS, INC.</t>
  </si>
  <si>
    <t>CONVERSOR, TENSAO;
TIPO CC/CC;
PARA ANUNCIADOR ULP;
GRUPO DIESEL;
SISTEMA ANTI-INCENDIO;
TENSAO NOMINAL DE ENTRADA 100/180 Vcc;
TENSAO DE SAIDA DUPLA 15 Vcc;
REGULACAO TENSAO SAIDA 1%;
EFICIENCIA TIPICA CARGA 87%;
TENSAO SAIDA RIP-PLE 50 mVPP;
POTENCIA 100 W (50+50 W).</t>
  </si>
  <si>
    <t>CONVERTIDOR, TENSION;
TIPO CC/CC;
PARA ANUNCIADOR ULP;
GRUPO DIESEL;
SISTEMA ANTI-INCENDIO;
TENSION NOMINAL DE ENTRADA 100/180 Vcc;
TENSION DE SALIDA DOBLE 15 Vcc;
REGULACION TENSION SALIDA 1%;
EFICIENCIA TIPICA CARGA 87%;
TENSION SALIDA RIP-PLE 50 mVPP;
POTENCIA 100 W (50+50 W).</t>
  </si>
  <si>
    <t>REFERÊNCIA:
PC15D - PICO ELECTRONICS</t>
  </si>
  <si>
    <t>713061</t>
  </si>
  <si>
    <t xml:space="preserve">| Sugestao PR=2.0
| Sugestao MAX=11.0
</t>
  </si>
  <si>
    <t>TOMADA IND ACOPL 3P+T 380/440V 32A 6H</t>
  </si>
  <si>
    <t>P:\Mfotos\Padronizadas\713061(A).jpg</t>
  </si>
  <si>
    <t>39030102</t>
  </si>
  <si>
    <t>N-4256 - STECK</t>
  </si>
  <si>
    <t>30314 4.0
30311 2.0
71423 2.0
30412 1.0</t>
  </si>
  <si>
    <t>TOMADA, INDUSTRIAL;
ACOPLAMENTO (MOVEL) ;
CARCACA EM POLIA mmIDA 6.6;
AUTOEXTINGUIVEL;
VEDACAO EM NEOPRENE;
TERMINAIS EM LATAO;
4 POLOS (3P + T);
TENSAO 380/440 V;
TENSAO DE ISOLAMENTO 690 V;
CORRENTE 32 A;
TERRA EM 6 HORAS;
GRAU DE PROTECAO IP-44;
NORMAS TECNICAS APLICAVEIS ABNT NBR IEC 60309-1.</t>
  </si>
  <si>
    <t>TOMA, INDUSTRIAL;
ACOPLAMIENTO (MOVIL);
CARCAZA EN POLIA mmIDA 6.6;
AUTOEXTINGUIBLE;
SELLO EN NEOPRENE;
TERMINALES EN LATON;
4 POLOS (3P + T);
TENSION 380/440 V;
TENSION DE AISLAMIENTO 690 V;
CORRIENTE 32 A;
TIERRA EN 6 HORAS;
GRADO DE PROTECCON IP-44;
CONFORME LA NORMA TECNICA ABNT NBR IEC 60309-1.</t>
  </si>
  <si>
    <t>Referencia: N4256 - STECK</t>
  </si>
  <si>
    <t>712751</t>
  </si>
  <si>
    <t xml:space="preserve">| Sugestao PR=145.0
| Sugestao MAX=295.0
</t>
  </si>
  <si>
    <t>FITA ADES VHB DUP FACE 1,1X19MMX5M</t>
  </si>
  <si>
    <t>P:\Mfotos\Padronizadas\712751(A).jpg</t>
  </si>
  <si>
    <t>HB004221873 - 3M</t>
  </si>
  <si>
    <t>30312 61.0
51524 52.0
50141 39.0
71341 36.0
72341 20.0</t>
  </si>
  <si>
    <t>FITA, ADESIVA MULTIUSO;
TIPO VHB DUPLA FACE, INTERIOR/EXTERIOR;
PARA PLACA DE SINALIZACAO, ALUMINIO, ACO
GALVANIZADO, INOX, ACO PINTADO, VIDRO, EPOXI,
CERAMICA;
MATERIAL ESPUMA ACRILICA, BRANCA, (COM LINER FILME
PROPILENO);
ADESAO AO ACO MINIMO 4,8 kgf/12,7mm(90° ASTM D3330);
EMBALAGEM ROLO;
ESPESSURA 1,1 mm;
LARGURA 19 mm;
COMPRIMENTO 5 m;
NORMA TECNICA APLICAVEL ASTM D3330.</t>
  </si>
  <si>
    <t>CINTA, ADHESIVA MULTIUSO;
TIPO VHB DOBLE FAZ INTERNO/EXTERNO;
PARA PLACA DE SENALIZACION
ALUMINIO, ACERO GALVANIZADO, ACERO INOX,
ACERO PINTADO, VIDRIO, EPOXI, CERAMICA;
MATERIAL ESPUMA ACRILICA COLOR BLANCA,
(CON LINER PELICULA PROPILENO);
ADHESION AL ACERO MINIMO 4,8 kgf/12,7mm (90°
ASTM D3330);
EMBALAJE ROLLO;
ESPESOR 1,1 mm;
ANCHO 19 mm;
LARGO 5 m;
NORMA TECNICA APLICABLE ASTM D3330.</t>
  </si>
  <si>
    <t>REFERENCIA:
3M - Fita VHB dupla - face de espuma 4950 Clam Shell
HB004221873
Atenção ao ADESAO AO ACO  MINIMO 4,8Kgf</t>
  </si>
  <si>
    <t>REFERENCIA:
3M - Fita VHB dupla - face de espuma 4950 Clam Shell
HB004221873
atencion al ADHESION AL ACERO MINIMO 4,8 kgf/12,7mm</t>
  </si>
  <si>
    <t>174939</t>
  </si>
  <si>
    <t xml:space="preserve">| Sugestao PR=24.0
| Sugestao MAX=59.0
</t>
  </si>
  <si>
    <t>GARRA JACARE ISOL VM 25A 8,5X79,5MM</t>
  </si>
  <si>
    <t>P:\Mfotos\Padronizadas\174939(A).jpg</t>
  </si>
  <si>
    <t>32021202</t>
  </si>
  <si>
    <t>30324 32.0
30314 14.0
72423 12.0
30313 10.0
71332 6.0</t>
  </si>
  <si>
    <t>GARRA, JACARE;
TIPO ISOLADO;
COR VERMELHO;
CORRENTE NOMINAL 25 A;
DIAMETRO 8,5 mm;
COMPRIMENTO 79,5 mm.</t>
  </si>
  <si>
    <t>PINZA, YACARE;
TIPO AISLADO;
COLOR ROJO;
CORRIENTE NOMINAL 25 A;
DIAMETRO 8,5 mm;
LARGO 79,5 mm.</t>
  </si>
  <si>
    <t>REFERENCIA
566 VM - JOTO</t>
  </si>
  <si>
    <t>315508</t>
  </si>
  <si>
    <t xml:space="preserve">| Sugestao PR=45.0
| Sugestao MAX=144.0
</t>
  </si>
  <si>
    <t>CONECTOR ATER BR CAB/CHAPA 50/70MM2</t>
  </si>
  <si>
    <t>P:\Mfotos\Padronizadas\315508(A).jpg</t>
  </si>
  <si>
    <t>39030306</t>
  </si>
  <si>
    <t>QA26-B - BURNDY</t>
  </si>
  <si>
    <t>[104.0]</t>
  </si>
  <si>
    <t>30412 118.0
30314 81.0</t>
  </si>
  <si>
    <t>CONECTOR;
TIPO ATERRAMENTO;
POSICAO  DOS CONDUTORES RETO;
APOIO SIMPLES;
BRONZE;
CONEXAO CABO A CHAPA;
FIXACAO DOS CONDUTORES POR PARAFUSO COM PORCA E
ARRUELA;
ELEMENTO FIXACAO DE ACO CARBONO ZINCADO A QUENTE;
CONDUTORES 1,
FAIXA DE CABO 50 A 70MM2.</t>
  </si>
  <si>
    <t>CONECTOR;
TIPO PUESTA TIERRA;
POSICION DE LOS CONDUCTORES RECTO;
APOYO SIMPLE;
BRONCE;
CONEXION CABLE A CHAPA;
FIJACION DE LOS CONDUCTORES POR TORNILLO CON
TUERCA Y ARANDELA;
ELEMENTO FIJACION DE ACERO CARBONO CINCADO A FUEGO;
CONDUCTORES 1;
SECCION DEL CABLE 50 A 70MM2.</t>
  </si>
  <si>
    <t>Referência:
QA26-B - BURNDY
QAI 70-B - Similar</t>
  </si>
  <si>
    <t>ZD</t>
  </si>
  <si>
    <t>221503</t>
  </si>
  <si>
    <t xml:space="preserve">| Sugestao PR=20.0
| Sugestao MAX=215.0
| Verificar reserva
</t>
  </si>
  <si>
    <t>LUVA EMEN COMP CU/SN 70MM2</t>
  </si>
  <si>
    <t>P:\Mfotos\Padronizadas\221503(A).jpg</t>
  </si>
  <si>
    <t>26030314</t>
  </si>
  <si>
    <t>[112.0]</t>
  </si>
  <si>
    <t>72423 144.0
30314 20.0
30311 10.0
30412 10.0
71423 10.0</t>
  </si>
  <si>
    <t>LUVA, EMENDA COMPRESSAO;
MATERIAL COBRE ELETROLITICO;
PROTECAO SUPERFICIAL ESTANHADO;
FORMATO COM RESALTO NO CENTRO, SEM ISOLACAO;
DIAMETRO NOMINAL 70 mm2;
COMPRIMENTO 52 mm;
NORMAS TECNICAS APLICAVEIS NBR 5370, NBR 5410.</t>
  </si>
  <si>
    <t>UNION SIMPLE, COMPRESION;
MATERIAL COBRE ELECTROLITICO;
PROTECCION SUPERFICIAL ESTANADO;
FORMA CON RESALTO EN EL CENTRO, SIN AISLAMIENTO;
DIAMETRO NOMINAL 70 mm2;
LARGO 52 mm;
NORMAS TECNICAS APLICABLES NBR 5370, NBR 5410.</t>
  </si>
  <si>
    <t>Marca INTELLI LF-70</t>
  </si>
  <si>
    <t>665053</t>
  </si>
  <si>
    <t xml:space="preserve">| Alterar para ZP, CMM = 3.0
| Verificar reserva
</t>
  </si>
  <si>
    <t>DISJUNTOR TERMOMAG 3P 440V 40A C 6KA</t>
  </si>
  <si>
    <t>P:\Mfotos\Padronizadas\665053(A).jpg</t>
  </si>
  <si>
    <t>A9F74340 - SCHNEIDER</t>
  </si>
  <si>
    <t>[14.0]</t>
  </si>
  <si>
    <t>71423 39.0
72423 9.0
30314 3.0
30311 1.0
25200 1.0</t>
  </si>
  <si>
    <t>DISJUNTOR;
TIPO TERMOMAGNETICO;
TIPO DE FIXACAO TRILHO DIN 35;
NUMERO DE POLOS 3;
CARACTERISTICAS DE OPERACAO MANUAL;
TIPO DE ACIONAMENTO ALAVANCA;
TENSAO NOMINAL 440 V;
TENSAO DE ISOLAMENTO 500 V;
CORRENTE NOMINAL 40 A;
CAPACIDADE INTERRUP SIMETRICA 6 kA EM 440 V;
FREQUENCIA NOMINAL 50/60 Hz;
AJUSTE ELEMENTO MAGNETICO FIXO 8XIN;
CURVA DE DISPARO C (5 A 10 X IN);
ALTURA 85 mm;
LARGURA 54 mm;
PROFUNDIDADE 78,5 mm;
CONFORME NORMA(S) TECNICA(S) IEC 60947-2.</t>
  </si>
  <si>
    <t>DISYUNTOR;
TIPO TERMOMAGNETICO;
TIPO DE FIJACION RIEL DIN 35;
NUMERO DE POLOS 3;
CARACTERISTICAS DE OPERACION MANUAL;
TIPO DE ACCIONAMIENTO PALANCA;
TENSION NOMINAL 440 V;
TENSION DE AISLAMIENTO 500 V;
CORRIENTE NOMINAL 40 A;
CAPACIDAD INTERRUP SIMETRICA 6 kA EN 440 V;
FRECUENCIA NOMINAL 50/60 Hz;
AJUSTE DEL ELEMENTO MAGNETICO FIJO 8XIN;
CURVA DE DISPARO C (5 A 10 X IN);
ALTURA 85 mm;
ANCHO 54 mm;
PROFUNDIDAD 78,5 mm;
CONFORME NORMA(S) TECNICA(S) IEC 60947-2.</t>
  </si>
  <si>
    <t>REFERENCIA
IC60N A9F74340 - SHCNEIDER</t>
  </si>
  <si>
    <t>ORIGINAL - C60N - MERLIN GERIN
ORIGINAL - PLS4-C40/3 - MOELLER</t>
  </si>
  <si>
    <t>704722</t>
  </si>
  <si>
    <t>| Solicitar cotação do material com os fornecedores do grupo 26050111
Prezado [Fornecedor],
Solicito cotação de 10 unidades do material:
INDICADOR, DIGITAL;
TIPO CONTROLADOR;
MICROPROCESSADOR ELETRONICO;
SENSIBILIDADE 0,1% FE PARA MILI-AMPER;
CARACTERISTICA DO MOSTRADOR;
    DUPLO DISPLAY COM 4 DIGITOS;
    MUDANCA DE COR COM ALARME;
    DE BRANCO PARA VERMELHO OU;
    VERMELHO PARA BRANCO;
CONFIGURACAO DOS PARAMETROS;
    POR TECLADO FRONTAL;
ACAO CONTROLE AJUSTAVEL;
4 RELES SPDT (INDEPENDENTES);
SINAL DE ENTRADA 1X(420 mACC)/RTD/TC/0-2 Vcc;
TENSAO NOMINAL ALIMENTACAO 125 Vcc;
LINEARES;
TERMORESISTENCIAS;
CELULAS DE CARGAS;
TENSAO AUXILIAR FONTE INTERNA 24 Vcc;
LARGURA 96 mm;
COMPRIMENTO 48 mm;
FIXACAO FRONTAL EM PAINEL;
REF. U m33A010-11/LP/S019 N;
MARCA YOKOGAWA.</t>
  </si>
  <si>
    <t>INDICADOR DIG 125VCC 96X48 UM33A-010-11</t>
  </si>
  <si>
    <t>P:\Mfotos\Padronizadas\704722(A).jpg</t>
  </si>
  <si>
    <t>26050111</t>
  </si>
  <si>
    <t>UM33A-010-11/LP/S019N - YOKOGAWA</t>
  </si>
  <si>
    <t>30314 43.0</t>
  </si>
  <si>
    <t>1822.0</t>
  </si>
  <si>
    <t>YOKOGAWA AMERICA DO SUL LTDA.</t>
  </si>
  <si>
    <t>INDICADOR, DIGITAL;
TIPO CONTROLADOR;
MICROPROCESSADOR ELETRONICO;
SENSIBILIDADE 0,1% FE PARA MILI-AMPER;
CARACTERISTICA DO MOSTRADOR;
    DUPLO DISPLAY COM 4 DIGITOS;
    MUDANCA DE COR COM ALARME;
    DE BRANCO PARA VERMELHO OU;
    VERMELHO PARA BRANCO;
CONFIGURACAO DOS PARAMETROS;
    POR TECLADO FRONTAL;
ACAO CONTROLE AJUSTAVEL;
4 RELES SPDT (INDEPENDENTES);
SINAL DE ENTRADA 1X(420 mACC)/RTD/TC/0-2 Vcc;
TENSAO NOMINAL ALIMENTACAO 125 Vcc;
LINEARES;
TERMORESISTENCIAS;
CELULAS DE CARGAS;
TENSAO AUXILIAR FONTE INTERNA 24 Vcc;
LARGURA 96 mm;
COMPRIMENTO 48 mm;
FIXACAO FRONTAL EM PAINEL;
REF. U m33A010-11/LP/S019 N;
MARCA YOKOGAWA.</t>
  </si>
  <si>
    <t>INDICADOR, DIGITAL;
TIPO CONTROLADOR;
MICROPROCESADOR ELECTRONICO;
SENSIBILIDAD 0,1% FE PARA MILI-AMPER;
CARACTERISTICA DEL VISOR;
    DOBLE DISPLAY CON 4 DIGITOS;
    MUDANZA DE COLOR CON ALARMA;
    DE BLANCO PARA ROJO O;
    DE ROJO PARA BLANCO;
CONFIGURACION DE LOS PARAMETROS;
    POR TECLADO FRONTAL;
ACCION CONTROL AJUSTABLE;
CON 4 RELES SPDT (INDEPENDIENTES);
SENAL DE ENTRADA 1X (4-20 mACC)/RTD/TC/0-2 Vcc;
TENSION NOMINAL ALIMENTACION 125 Vcc;
LINEALES;
TERMORESISTENCIAS;
CELDAS DE CARGAS;
TENSION AUXILIAR FUENTE INTERNA 24 Vcc;
ANCHO 96 mm;
LARGO 48 mm;
FIJACION FRONTAL EN TABLERO;
REFERENCIA U m33A-010-11/LP/S019 N.
MARCA YOKOGAWA.</t>
  </si>
  <si>
    <t>SOLICITAMOS ADQUIRIR DA EMPRESA "YOKOGAWA AMÉRICA DO SUL LTDA.", O
MATERIAL CONSTANTE NESTA RC, POR SER O FABRICANTE  ORIGINAL.
POR TRATAR-SE DE MATERIAL SOBRESSALENTE, SOMENTE O PRODUTO DA MARCA
INDICADA POSSUI AS CARACTERISTICAS TECNICAS    E DIMENSIONAIS REQUERIDAS
PARA A INSTALACAO E CONFIABILIDADE EM SEU    DESEMPENHO NOS RELES AMV
DAS UNIDADES GERADORAS DA CHI, NÃO SENDO POSSIVEL ADQUIRIR COMPONENTE
SIMILAR.</t>
  </si>
  <si>
    <t>SOLICITAMOS ADQUIRIR DE LA EMPRESA "YOKOGAWA AMÉRICA DO SUL LTDA.", EL
MATERIAL CONSTANTE EN ESTA SOLPE, POR SER EL FABRICANTE  ORIGINAL DEL
MATERIAL Y YA QUE EL MISMO SE TRATA DE UN MATERIAL SOBRESALIENTE,
SOLAMENTE EL PRODUCTO DE LA MARCA INDICADA POSEE LAS CARACTERISTICAS
TECNICAS Y DIMENSIONALES REQUERIDAS PARA LA INSTALACION Y CONFIABILIDAD
EN SU DESEMPEÑO EN LOS RELES AMV DE LAS UNIDADES GENERADORAS DE CHI, NO
SIENDO POSIBLE ADQUIRIR COMPONENTE SIMILAR.</t>
  </si>
  <si>
    <t>SUBSTITUTO - UM33A-010-11/LP/S019N - YOKOGAWA
ORIGINAL - - - -
ORIGINAL - - - -
ORIGINAL - - - -
ORIGINAL - - - -
ORIGINAL - - - -
SUBSTITUTO - UM33A-010-11/LP/S019N - YOKOGAWA
SUBSTITUTO - UM33A-010-11/LP/S019N - YOKOGAWA
ORIGINAL - - - -
ORIGINAL - - - -
ORIGINAL - - - -
ORIGINAL - - - -
ORIGINAL - UM33A-010-11/LP/S019N - YOKOGAWA
SUBSTITUTO - UM33A-010-11/LP/S019N - YOKOGAWA</t>
  </si>
  <si>
    <t>714868</t>
  </si>
  <si>
    <t xml:space="preserve">| Sugestao PR=90.0
| Sugestao MAX=122.0
| Verificar reserva
</t>
  </si>
  <si>
    <t>BATERIA ESTACION VRLA 12V 100AH</t>
  </si>
  <si>
    <t>P:\Mfotos\Padronizadas\714868(A).jpg</t>
  </si>
  <si>
    <t>GPL 121000 - CSB BATTERY</t>
  </si>
  <si>
    <t>30313 90.0
72332 5.0
72330 1.0</t>
  </si>
  <si>
    <t>113977.0</t>
  </si>
  <si>
    <t>ALCIDES DE JESUS CANDIA ARGUELLO</t>
  </si>
  <si>
    <t>BATERIA, ESTACIONARIA;
APLICACAO UPS SISTEMA SCADA;
TIPO VRLA AGM;
CAPACIDADE (C20) 100 Ah;
TENSAO NOMINAL 12 Vcc;
ALTURA TOTAL MAXIMA 217,3 mm;
COMPRIMENTO MAXIMO 343 mm;
LARGURA MAXIMA 170 mm;
TIPO DE CONEXAO FURO COM ROSCA M6;
REFERENCIA GPL 121000;
FABRICANTE CSB BATTERY.</t>
  </si>
  <si>
    <t>BATERIA, ESTACIONARIA;
APLICACION UPS SISTEMA SCADA;
TIPO VRLA AGM;
CAPACIDAD (C20) 100 Ah;
TENSION NOMINAL 12 Vcc;
ALTURA TOTAL MAXIMA 217,3 mm;
LARGO MAXIMO 343 mm;
ANCHO MAXIMO 170 mm;
TIPO DE CONEXION AGUJERO CON ROSCA M6;
REFERENCIA GPL 121000;
FABRICANTE CSB BATTERY.</t>
  </si>
  <si>
    <t>Clausula de sustentabilidade em anexo
As baterias devem ter a mesma data de validade</t>
  </si>
  <si>
    <t>Clausula de sustentabilidad en adjunto
Las baterias debem ter la misme fecha de validad</t>
  </si>
  <si>
    <t>A adquisicão da especificada, CBS Battery/GLP 121000,
por ser peça de reserva técnica específica para
fornecer energia condicionada e de respaldo da carga
do Sistema SCADA, de modo a não expor os equipamentos
informáticos, servidores, e por comprometerem a segura
operacão da Central Hidroeléctrica.</t>
  </si>
  <si>
    <t>Se solicita la adquisición de esta bateria, de la marca y modelo
especificado, CBS Battery/GLP 121000, en razón de ser piezas específicas
para suministrar energía condicionada y de respaldo a la carga del
Sistema SCADA, de modo a no exponer a los equipos informáticos,
servidores, consolas y comprometan la segura operación de la Central
Hidroeléctrica.</t>
  </si>
  <si>
    <t xml:space="preserve">| Sugestao MAX=4.0
</t>
  </si>
  <si>
    <t>713616</t>
  </si>
  <si>
    <t>CAIXA PAS CONCR TAMPA 400X400X600MM</t>
  </si>
  <si>
    <t>P:\Mfotos\Padronizadas\713616(A).jpg</t>
  </si>
  <si>
    <t>52612 11.0
72423 5.0
52630 4.0
72424 3.0
30412 1.0</t>
  </si>
  <si>
    <t>CAIXA, PASSAGEM;
CONCRETO ARMADO RESISTENCIA MINIMA 30MPA;
PARA INSTALACOES ELETRICAS;
COM TAMPA ESPESSURA 50 mm;
SEM FUNDO;
FURO DIAMETRO DE 15 cm NAS 4 LATERAIS CENTRALIZADOS
27 cm DO FUNDO DA CAIXA;
DIMENSOES MINIMAS DAS FERRAGENS 6,3 mm;
COMPRIMENTO INTERNO 400 mm;
LARGURA INTERNA 400 mm;
ALTURA SEM A TAMPA 600 mm.</t>
  </si>
  <si>
    <t>CAJA, PASAJE;
MATERIAL CONCRETO ARMADO RESISTENCIA MINIMA 30MPA;
APLICACION INSTALACIANES ELECTRICAS;
CON TAPA ESPESOR 50 mm;
SIN FONDO;
AGUJERO DIAMETRO DE 15 cm EN LAS 4 LATERALES
CENTRALIZADOS 27 cm DEL FONDO DE LA CAJA;
DIMENSIONES MINIMAS DE LOS HERRAJES 6,3 mm;
LARGO INTERNO 400 mm;
ANCHO INTERNO 400 mm;
ALTURA SIN LA TAPA 600 mm.</t>
  </si>
  <si>
    <t>715055</t>
  </si>
  <si>
    <t xml:space="preserve">| Alterar para ZM
| Sugestao PR=133.0
| Sugestao MAX=350.0
</t>
  </si>
  <si>
    <t>LUMINARIA LED 150W 220V 50/60HZ</t>
  </si>
  <si>
    <t>P:\Mfotos\Padronizadas\715055(A).jpg</t>
  </si>
  <si>
    <t>39010105</t>
  </si>
  <si>
    <t>IZYLUM 3 - SCHRÉDER OU ROADFLEX - PHILIPS</t>
  </si>
  <si>
    <t>[707.0]</t>
  </si>
  <si>
    <t>30314 283.0
72423 214.0
71423 99.0
51524 45.0
30412 26.0</t>
  </si>
  <si>
    <t>24383.0</t>
  </si>
  <si>
    <t>BR LIGHT INDUSTRIA E COMERCIO LTDA</t>
  </si>
  <si>
    <t>LUMINARIA, LED;
TIPO MODULAR;
FORMATO RETANGULAR;
MATERIAL DO CORPO LIGA DE ALUMINIO, INJETADO SOB
ALTA PRESSAO;
PROTECAO SUPERFICIAL PINTURA ELETROSTATICA,
POLIESTER;
COR DO CORPO CINZA;
DRIVE COM SUPRESSOR SURTOS TENSAO, PROTECAO PICO
EXTERNO ENERG, 10 KV/ 5 KA;
NAO REGULAVEL POR DIMMER, SEM BASE RELE
FOTOELETRICO, SEM BASE RELE TELEGESTAO;
POTENCIA MAXIMA 150W;
INDICE REPRODUCAO DE COR (IRC) MAIOR QUE 70;
TEMPERATURA DE COR 3710K ATE 4260 K;
FLUXO LUMINOSO MINIMO 16500LM;
EFICIENCIA LUMINOSA MINIMA DE 120 LM/W;
TENSAO NOMINAL ALIMENTACAO 220 V +/-10%;
FREQUENCIA 50 E 60HZ;
FATOR DE POTENCIA MINIMO 0,92;
DISTORCAO HARMONICA CONFORME IEC 61000-3-2;
GRAU DE PROTECAO MINIMO IP66;
GRAU DE PROTECAO IMPACTO MINIMO IK09;
FIXACAO EM PONTA DE BRACO, DIAMETRO DE 60MM;
VIDA UTIL 60.000 H (70% FLUXO INICIAL), MINIMO 10000
HORAS DE ENSAIO;
NORMA TECNICA APLICAVEL ABNT NBR 16026, ABNT NBR ISO
209, IEEE/ANSI C62.41.2-2002.</t>
  </si>
  <si>
    <t>LUMINARIA, LED;
TIPO MODULAR;
FORMATO RECTANGULAR;
MATERIAL DEL CUERPO ALEACION DE ALUMINIO,
INJETADO SOB ALTA PRESION;
PROTECCION SUPERFICIAL PINTURA ELECTROSTATICA
EN POLIESTER;
COLOR DEL CUERPO GRIS;
DRIVE CON SUPRESOR DE SOBRETENSION Y
PROTECCION PICO EXTERNO ENERGIA 10 KV/ 5 KA;
POTENCIA MAXIMA 150W;
INDICE REPRODUCION DE COLOR (IRC) MAYOR QUE 70;
TEMPERATURA DE COLOR 3710K ATE 4260 K;
FLUJO LUMINOSO MINIMO 16500LM;
EFICIENCIA LUMINOSA MINIMA DE 120 LM/W;
TENSAO NOMINAL ALIMENTACION 220 V +/-10%;
FRECUENCIA 50 Y 60HZ;
FACTOR DE POTENCIA MINIMO 0,92;
DISTORCION HARMONICA CONFORME IEC 61000-3-2;
GRADO DE PROTECCION IP66;
GRADO DE PROTECCION IMPACTO MINIMO IK09;
FIJACION EN PUNTA DE BRAZO DIAMETRO DE 60MM;
VIDA UTIL 60.000 H (70% FLUJO INICIAL),
MINIMO 10.000 HORAS DE ENSAYO ;
NORMA TECNICA APLICABLE ABNT NBR 16026, ABNT
NBR ISO 209, IEEE/ANSI C62.41.2-2002.</t>
  </si>
  <si>
    <t>Referência:
IZYLUM 3 - Schréder
OU
ROADFLEX - PHILIPS
COM REQUISITOS DE COMPRAS SUSTENTAVEIS
PRAZO MINIMO DE GARANTIA DE 5 ANOS
Cada luminária fornecida deve ter uma placa de identificação, fixada no
corpo externo do referido material, em local de fácil visualização, com
fixação resistente às intempéries. Deve conter informações mínimas:
Nome da empresa (fornecedor);
Número do pedido de compra de ITAIPU;
Número de série ou lote (diferente para cada luminária)</t>
  </si>
  <si>
    <t>Referencia:
IZYLUM 3 - Schréder
O
ROADFLEX - PHILIPS
CON REQUISITOS DE COMPRAS SUSTENTABLES
PLAZO DE GARANTIA MINIMO DE 5 AÑOS
cada luminaria proveída debe poseer plaqueta de identificación, fijada
en el cuerpo externo de dicho material, en un lugar de fácil
visualización, con fijación resistente a acción de intemperies. En ella,
debe constar mínimas informaciones: 　
Nombre de la empresa (proveedor);　
Número da Orden de Compra de ITAIPU;　
Número de serie o lote (distinto para cada luminaria)</t>
  </si>
  <si>
    <t>713041</t>
  </si>
  <si>
    <t>DISJUNTOR TERMOMAG 3P 400V 50A 4,5KA C</t>
  </si>
  <si>
    <t>P:\Mfotos\Padronizadas\713041(A).jpg</t>
  </si>
  <si>
    <t>BFAZ4-C50/3 - EATON</t>
  </si>
  <si>
    <t>[13.0]</t>
  </si>
  <si>
    <t>71423 18.0
72423 7.0
30314 4.0
71332 2.0
25200 1.0</t>
  </si>
  <si>
    <t>26107.0</t>
  </si>
  <si>
    <t>B&amp;M ELETRICIDADE LTDA</t>
  </si>
  <si>
    <t>DISJUNTOR;
TIPO TERMOMAGNETICO;
CAIXA MOLDADA ;
NAO EXTRAIVEL;
NUMERO DE POLOS 3;
CARACTERISTICAS DE OPERACAO MANUAL;
TIPO DE ACIONAMENTO ALAVANCA SIMPLES BASCULANTE;
TENSAO NOMINAL 400 V;
CORRENTE NOMINAL 50 A;
CAPACIDADE INTERRUP SIMETRICA 4,5 kA EM 400 V;
CURVA DE DISPARO C;
TIPO DE FIXACAO PELA BASE SOBRE TRILHO DIN;
REF. BFAZ4C50/3 MARCA EATON.</t>
  </si>
  <si>
    <t>DISYUNTOR;
TIPO TERMOMAGNETICO;
CAJA MOLDEADA ;
NO EXTRAIBLE;
NUMERO DE POLOS 3;
CARACTERISTICA DE OPERACION MANUAL;
TIPO DE ACCIONAMIENTO PALANCA SIMPLE BASCULANTE;
TENSION NOMINAL 400 V;
CORRIENTE NOMINAL 50 A;
CAPACIDAD INTERRUP SIMETRICA 4,5 kA EN 400 V;
CURVA DE DISPARO C;
TIPO DE FIJACION POR LA BASE SOBRE RIEL DIN;
REF. BFAZ4C50/3 MARCA EATON.</t>
  </si>
  <si>
    <t>FAZ-SE NECESSÁRIA A AQUISIÇÃO DO MATE-
RIAL RELACIONADO NESTA REQ.C, NA MARCA
E MODELO  INDICADO,  POIS O  MESMO  SE
ENCONTRA INSTALADO NOS PAINÉIS QFAC-03,
NÃO  SENDO  ADMITIDOS  OUTROS  MODELOS,
HAJA VISTA A INCOMPATIBILIDADE  TÉCNICA
E DIMENSIONAL.</t>
  </si>
  <si>
    <t>ES NECESARIO LA  ADQUISICION DEL  MATE-
RIAL RELACIONADO EN ESTA REQ.C, EN MAR-
CA Y MODELO  INDICADO, PUES EL MISMO SE
ENCUENTRA  INSTALADO  EN  LOS  TABLEROS
QFAC-03, NO  SIENDO   ADMITIDOS  OTROS
MODELOS, DEBIDO A LA INCOMPATIBILIDAD
TECNICA Y DIMENSIONAL.</t>
  </si>
  <si>
    <t>711488</t>
  </si>
  <si>
    <t xml:space="preserve">| Sugestao PR=1.0
| Sugestao MAX=3.0
</t>
  </si>
  <si>
    <t>DISJUNTOR TERMOMAG 2P 380V 16A 10KA/400V</t>
  </si>
  <si>
    <t>P:\Mfotos\Padronizadas\711488(A).jpg</t>
  </si>
  <si>
    <t>C60N 24337 - SCHNEIDER ELECTRIC</t>
  </si>
  <si>
    <t>51524 4.0
30314 1.0</t>
  </si>
  <si>
    <t>DISJUNTOR;
TIPO TERMOMAGNETICO;
TIPO DE CAIXA PLASTICA, EXECUCAO FIXA;
TIPO DE FIXACAO PELA BASE SOBRE TRILHO DIN;
NUMERO DE POLOS 2;
CARACTERISTICAS DE OPERACAO ALAVANCA;
TIPO DE ACIONAMENTO MANUAL;
TENSAO DE ISOLAMENTO 380 V;
CORRENTE NOMINAL 16 A;
CAPACIDADE INTERRUP SIMETRICA 10KA EM 400/415VCA;
AJUSTE DO ELEMENTO TERMICO FIXO EM 16A;
AJUSTE DO ELEMENTO MAGNETICO FIXO EM 5-10A XIN;
TIPO DE CONEXAO FRONTAL COM PRENSACABOS;
NORMA TECNICA APLICAVEL IEC 60947-2;
REFERENCIA A9F74216;
MARCA SCHNEIDER ELECTRIC.</t>
  </si>
  <si>
    <t>DISYUNTOR;
TIPO TERMOMAGNETICO;
TIPO DE CAJA PLASTICA;
EJECUCION FIJA;
NUMERO DE POLOS 2;
CARACTERISTICA DE OPERACION PALANCA;
TIPO DE ACCIONAMIENTO MANUAL;
TENSION DE AISLAMIENTO 380 V;
CORRIENTE NOMINAL 16 A;
CAPACIDAD INTERRUP SIMETRICA 10 kA EN 400/415 Vca;
AJUSTE DEL ELEMENTO TERMICO FIJO EN 16 A;
AJUSTE DE ELEMENTO MAGNETICO FIJO EN 5-10A XIN;
TIPO DE CONEXION FRONTAL CON PRENSACABLES;
TIPO DE FIJACION POR LA BASE SOBRE RIEL DIN;
CONFORME NORMA(S) TECNICA(S) IEC 609472;
REFERENCIA C60 N 24337;
MARCA SCHNEIDER ELECTRIC.</t>
  </si>
  <si>
    <t>FAZ-SE NECESSÁRIA A AQUISIÇÃO DE MARCA E
MODELO INDICADOS, POIS O É ACESSÓRIO DOS
PAINÉIS AUXILIARES INSTALADOS NA  SE-MD,
DA MESMA MARCA, NÃO SENDO POSSIVEL  INS-
TALAR OUTRO MODELO, POR INCOMPATIBILIDA-
DE TÉCNICA E DIMENSIONAL.</t>
  </si>
  <si>
    <t>ES NECESSÁRIA LA AQUISICION DE LA MARCA Y
MODELO INDICADOS, PORQUE ES ACESSÓRIO DE LOS
PAINELES AUXILIARES INSTALADOS EN LA SE-MD,
DE LA MISMA MARCA, NO ES POSSIBLE INSTALAR OTRO
MODELO, POR INCOMPATIBILIDAD TÉCNICA Y DIMENSIONAL.</t>
  </si>
  <si>
    <t>ORIGINAL - C60N-16A-2P, CÓDIGO: 24337 - MERLIN GERIN
FORNECEDOR - 23557077 - ALSTOM
ORIGINAL - IC60N-2P-C16A (A9F74216) - SCHNEIDER ELECTRIC
ORIGINAL - IC60N-2P-C16A (A9F74216) - SCHNEIDER ELECTRIC</t>
  </si>
  <si>
    <t>716295</t>
  </si>
  <si>
    <t>LUMINARIA LED SOBREP 80W 5000K IP66</t>
  </si>
  <si>
    <t>P:\Mfotos\Padronizadas\716295(A).jpg</t>
  </si>
  <si>
    <t>EWL51/75 - NAVILLE</t>
  </si>
  <si>
    <t>71423 6.0
30412 3.0</t>
  </si>
  <si>
    <t>LUMINARIA, LED;
TIPO SOBREPOR;
PARA ILUMINACAO EM AMBIENTE COM ATMOSFERA EXPLOSIVA;
MATERIAL DO CORPO LIGA ALUMINIO FUNDIDO;
PROTECAO SUPERFICIAL PINTURA ELETROSTATICA;
COR DO CORPO CINZA CLARO MUNSELL N 6,5;
MATERIAL DO DIFUSOR VIDRO PLANO TEMPERADO;
TIPO DE LED LIGHTING CLASS CREE;
DRIVE INTEGRADO, PROTECAO SURTO ATE 0,6 KV;
POTENCIA 80 W;
INDICE REPRODUCAO DE COR (IRC) MINIMO 70;
TEMPERATURA DE COR 5.000 K +/- 10%;
FLUXO LUMINOSO MINIMO 7680 lm;
EFICIENCIA LUMINOSA MINIMA 96 lm/W;
TENSAO NOMINAL ALIMENTACAO 120 - 277 V;
FREQUENCIA 50/60 HZ;
FATOR DE POTENCIA MINIMO 0,9;
ANGULO FACHO LUMINOSO 120 grau;
GRAU DE PROTECAO IP-66W;
FIXACAO EM SUPORTE ACO ZINCADO QUENTE COM
AJUSTE VERTICAL, HORIZONTAL E DE ANGULO;
CONEXAO PRENSA CABO 1/2 POLEGADA BSP;
VIDA UTIL MINIMA 50.000 H (LM70);
ALTURA MAXIMA 166 MM;
LARGURA 210 mm;
COMPRIMENTO MAXIMO 1200 MM;
PESO MAXIMO 15 kg;
NORMA TECNICA APLICAVEL ABNT NBR IEC 60079-0/1/31,
ABNT NBR IEC 60529, IES LM80.</t>
  </si>
  <si>
    <t>LUMINARIA, LED;
TIPO ADOSADO;
PARA ILUMINACION EN AMBIENTE CON ATMOSFERA EXPLOSIVA;
MATERIAL DEL CUERPO ALEACION DE ALUMINIO FUNDIDO;
PROTECCION SUPERFICIAL PINTURA ELETROSTATICA;
COLOR DE LA CARCAZA GRIS CLARO MUNSELL N 6,5;
MATERIAL DEL DIFUSOR VIDRIO PLANO TEMPERADO;
TIPO DE LED LIGHTING CLASS CREE;
DRIVE INTEGRADO PROTECION SURTO HASTA 0,6 KV;
POTENCIA 80 W;
INDICE REPROD CROMATICA (IRC) MINIMO 70;
TEMPERATURA DEL COLOR 5.000 K +/- 10%;
FLUJO LUMINOSO MINIMO 7680 lm;
EFICIENCIA LUMINOSA MINIMA 96 lm/W;
TENSION NOMINAL ALIMENTACION 120 - 277 V;
FRECUENCIA NOMINAL 50/60 HZ;
FACTOR DE POTENCIA MINIMO 0,9;
ANGULO ALCANCE LUMINOSO 120 deg;
GRADO DE PROTECCION IP-66W;
FIJACION EN SUPORTE ACERO ZINCADO CALIENTE
CON AJUSTE VERTICAL, HORIZONTAL Y DE ANGULO;
CONEXION PRENSA CABLE 1/2 PULGADA BSP;
VIDA UTIL MINIMA 50.000 H (LM70);
ALTURA MAXIMA 166 MM;
ANCHO 210 mm;
LARGO MAXIMO 1200 MM;
PESO MAXIMO 15 kg;
NORMA TECNICA APLICABLE ABNT NBR IEC 60079-0/1/31,
ABNT NBR IEC 60529, IES LM80.</t>
  </si>
  <si>
    <t>Marca referência
EWL51/75 - NAVILLE
Em anexo requisitos de sustentabilidade</t>
  </si>
  <si>
    <t>Marca referencia
EWL51/75 - NAVILLE
En adjunto requisitos de sustentabilidad</t>
  </si>
  <si>
    <t>268275</t>
  </si>
  <si>
    <t xml:space="preserve">| Sugestao PR=70.0
| Sugestao MAX=121.0
</t>
  </si>
  <si>
    <t>TERMINAL ELET COMP TUB 240MM2 13,16MM</t>
  </si>
  <si>
    <t>P:\Mfotos\Padronizadas\268275(A).jpg</t>
  </si>
  <si>
    <t>71423 103.0
30412 48.0</t>
  </si>
  <si>
    <t>TERMINAL, ELETRICO COMPRESSAO;
TIPO ANEL TUBULAR;
COBRE ELETROLITICO;
PROTECAO SUPERFICIAL ESTANHADO;
COM UM FURO DE 13,16 mm PARA PARAFUSO DE 1/2 POLEGADA;
CORPO FECHADO;
DIMENSOES 91,00X39,00X21,50X27,00X5,40 mm;
FAIXA DE BITOLAS 240 mm² ( 500/MCM ).</t>
  </si>
  <si>
    <t>TERMINAL, ELECTRICO COMPRESION;
TIPO ANILLO TUBULAR;
COBRE ELECTROLITICO;
PROTECCION SUPERFICIAL ESTANADO;
CON UN AGUJERO DE 13,16 mm PARA TORNILLO DE 1/2 PULGADA;
CUERPO CERRADO;
DIMENSIONES 91X39X21,50X27X5,40 mm;
FAJA DE LA SECCION 240 mm²(500/MCM).</t>
  </si>
  <si>
    <t>REFERENCIA:
CRIMPER - AT7324</t>
  </si>
  <si>
    <t>592994</t>
  </si>
  <si>
    <t xml:space="preserve">| Sugestao PR=6.0
| Sugestao MAX=14.0
</t>
  </si>
  <si>
    <t>CONECTOR ATER CU CAB/CAB 3/0AWG/500MCM</t>
  </si>
  <si>
    <t>P:\Mfotos\Padronizadas\592994(A).jpg</t>
  </si>
  <si>
    <t>K 2C34 - BURNDY</t>
  </si>
  <si>
    <t>30412 18.0
30314 5.0</t>
  </si>
  <si>
    <t>CONECTOR, ATERRAMENTO;
TIPO CABO/CABO;
POSICAO DOS CONDUTORES PARALELO;
CONEXAO DOIS CABOS A CHAPA;
COBRE;
BITOLA 3/0AWG A 500 MCM;
FIXACAO DOS CONDUTORES POR PARAFUSO CABECA SEXTAVADA.</t>
  </si>
  <si>
    <t>CONECTOR, PUESTA A TIERRA;
TIPO DE CABLE / CABLE;
POSICIÓN DE LOS CONDUCTORES EN PARALELO;
CONECTANDO DOS CABLES A LA PLACA;
COBRE;
CALIBRE 3 / 0AWG A 500 MCM;
FIJACIÓN DE LOS CONDUCTORES MEDIANTE TORNILLO HEXAGONAL.</t>
  </si>
  <si>
    <t>Referência:
K2C34 - Burndy</t>
  </si>
  <si>
    <t>ORIGINAL - K2C34 - BURNDY</t>
  </si>
  <si>
    <t>116670</t>
  </si>
  <si>
    <t>CHAVE NIV BOIA VERT 52,0X622,0MM</t>
  </si>
  <si>
    <t>P:\Mfotos\Padronizadas\116670(A).jpg</t>
  </si>
  <si>
    <t>7014-C 14-U1 - B/W CONTROLS</t>
  </si>
  <si>
    <t>30316 1.0
30322 1.0</t>
  </si>
  <si>
    <t>CHAVE, NIVEL BOIA;
TIPO FLUTUADOR MAGNETICO;
MATERIAL DO CORPO FERRO FUNDIDO;
MATERIAL DA HASTE ACO INOX AISI 316L;
MATERIAL DA BOIA ACO INOX AISI 316Ti;
MATERIAL DA CAIXA ALUMINIO;
MONTAGEM VERTICAL;
CONEXAO ELETRICA 3/4POL NPT;
NUMERO E TIPO DE ESTAGIOS 5;
NUMERO E TIPO(S) DE CONTATO(S) 5NA;
CORRENTE NOMINAL DOS CONTATOS 0,5A em 230V;
POSIÇÃO DOS CONTATOS 187 mm, 287 mm, 387 mm, 487 mm e 587 mm;
DIAMETRO EXTERNO 44 mm;
COMPRIMENTO DA HASTE 632 mm;
REFERENCIA ARL2"-LSSSSS-L632/14-V44A;
MARCA WIKA FLS-SA.</t>
  </si>
  <si>
    <t>LLAVE, NIVEL BOYA;
TIPO FLOTADOR MAGNÉTICO;
MATERIAL DEL CUERPO FERRO FUNDIDO;
MATERIAL DEL VASTAGO ACO INOX AISI 316L;
MATERIAL DE LA BOYA ACO INOX AISI 316Ti;
MATERIAL DE LA CAJA DE ALUMINIO;
MONTAJE VERTICAL;
CONEXION ELETRICA 3/4POL NPT;
NUMERO Y TIPO DE ETAPAS 5;
NUMERO Y TIPOS DE CONTACTOS 5NA;
CORRIENTE NOMINAL CONTACTOS 0,5A em 230V;
POSICIÓN DE CONTACTO 187 mm, 287 mm, 387 mm, 487 mm y 587 mm;
DIAMETRO EXTERNO 44 mm;
LONGITUD DEL VASTAGO 632 mm;
REFERENCIA ARL2"-LSSSSS-L632/14-V44A;
MARCA WIKA FLS-SA.</t>
  </si>
  <si>
    <t>É necessaria a  aquisição da marca/modelo  indicado, o
material adquirido é sobresalente para  item da  mesma
marca/modelo que ja se encontra instalado nas unidades
geradoras 1 a 18, qualquer diferença de  padrão podera
imposibilitar o funcionamento correto parcial ou total.
Pelo exposto não é possivel a  aquisição/utilização
do material de outras marcas/modelo.</t>
  </si>
  <si>
    <t>Es necesaria la adquisición de la marca y modelo indi-
cado, debido a que esto material está siendo adquirido
como sobresaliente para ítem de misma marca/modelo,que
ya se encuentra instalado en las Unidades  Generadoras
1 a 18, cualquier diferencia de padrón podrá imposibi-
litar su funcionamiento parcial  o  totalmente. Por lo
tanto, dada las condiciones  expuestas, no  es posible
adquisición/utilización  de  material de otras marcas/
modelos.</t>
  </si>
  <si>
    <t>ORIGINAL - REGISTRO 0093 - POS. 19 - VOITH
SUBSTITUTO - - - -
ORIGINAL - - - -
SUBSTITUTO - ARL2"-LSSSSS-L632/14-V44A - WIKA</t>
  </si>
  <si>
    <t>598623</t>
  </si>
  <si>
    <t xml:space="preserve">| Sugestao PR=1.0
| Sugestao MAX=3.0
| Verificar reserva
</t>
  </si>
  <si>
    <t>RESISTENCIA ELET CORD 220V 79W 420X4</t>
  </si>
  <si>
    <t>P:\Mfotos\Padronizadas\598623(A).jpg</t>
  </si>
  <si>
    <t>26050368</t>
  </si>
  <si>
    <t>RESISTENCIA, ELETRICA;
TIPO CORDAO;
TENSAO NOMINAL 220 V;
POTENCIA NOMINAL 79 W;
TERMINAIS FIO;
CAPA DE SILICONE;
DIMENSOES COMPRIMENTO: 420 mm;
DIAMETRO: 4 mm.</t>
  </si>
  <si>
    <t>RESISTENCIA, ELECTRICA;
TIPO CORDON;
TENSION NOMINAL 220 V;
POTENCIA NOMINAL 79 W;
TERMINALES CABLE;
CAPA DE SILICONA;
DIMENSIONES LARGO: 420 mm DIAMETRO: 4 mm.</t>
  </si>
  <si>
    <t>INDICAÇÃO DE REFERÊNCIA:
REF. 40 W/M (323.0066)- WEG, OU
REF. RESTC420 - RESILUZ,</t>
  </si>
  <si>
    <t>SUGERENCIA DE REFERENCIA:
REF. 40 W/M (323.0066)- WEG, OU
REF. RESTC420 - RESILUZ,</t>
  </si>
  <si>
    <t>713295</t>
  </si>
  <si>
    <t xml:space="preserve">| Sugestao PR=198.0
| Sugestao MAX=418.0
</t>
  </si>
  <si>
    <t>CONECTOR PARAL PERFUR 10-95/1,5-10</t>
  </si>
  <si>
    <t>P:\Mfotos\Padronizadas\713295(A).jpg</t>
  </si>
  <si>
    <t>39030205</t>
  </si>
  <si>
    <t>CDP-70 - INTELLI</t>
  </si>
  <si>
    <t>72423 554.0
71423 153.0
52612 4.0</t>
  </si>
  <si>
    <t>100312.0</t>
  </si>
  <si>
    <t>COMPAÑIA COMERCIAL DEL PARAGUAY S.A</t>
  </si>
  <si>
    <t>CONECTOR, PARALELO;
TIPO PERFURANTE;
PROTECAO SUPERFICIAL ISOLADO;
CONEXAO CONEXAO CABO A CABO;
PARA CONDUTORES ISOLADOS DE;
ALUMINIO E/OU COBRE;
FIXACAO DOS CONDUTORES 1 PARAFUSO COM CABECA FUSIVEL;
CLASSE DE TENSAO 1 kV;
SECAO NOMINAL CABO PRINCIPAL 10 A 95 mm2;
CABO DERIVACAO 1,5 A 10 mm2;
CONFORME NORMA(S) TECNICA(S) ABNT NBR 5474:1986;
ICS 29.120.30.</t>
  </si>
  <si>
    <t>CONECTOR, PARALELO;
TIPO PERFORANTE;
PROTECCION SUPERFICIAL AISLADO;
CONEXION CABLE A CABLE;
PARA CONDUCTORES AISLADOS DE ALUMINIO Y/O COBRE;
FIJACION DE LOS CONDUTORES 1 TORNILLO COM CABEZA
FUSIBLE;
CLASE DE TENSION 1 kV;
SECCION NOMINAL CABLE PRINCIPAL 10 A 95 mm2;
CABLE DERIVACION 1,5 A 10 mm2;
CONFORME NORMA(S) TECNICA(S) ABNT NBR 5474:1986;
ICS 29.120.30.</t>
  </si>
  <si>
    <t>REFERENCIA:
CDP-70 - INTELLI;
INCESA
Não será aceito porca revestida de PVC.</t>
  </si>
  <si>
    <t>REFERENCIA:
CDP-70 - INTELLI
INCESA
No será acepto tuerca revestida de PVC.</t>
  </si>
  <si>
    <t>268089</t>
  </si>
  <si>
    <t xml:space="preserve">| Alterar para ZM
| Volume da OP alto, considerar entrega parcelada
| Sugestao PR=180.0
| Sugestao MAX=872.0
</t>
  </si>
  <si>
    <t>ELETRODUTO FLEX ACO/PVC 3/4"</t>
  </si>
  <si>
    <t>P:\Mfotos\Padronizadas\268089(A).jpg</t>
  </si>
  <si>
    <t>[1148.0]</t>
  </si>
  <si>
    <t>30314 1565.0
30412 212.0
50141 100.0
72424 73.0
52524 60.0</t>
  </si>
  <si>
    <t>ELETRODUTO, FLEXIVEL;
FITA DE ACO;
PROTECAO SUPERFICIAL ZINCADO;
PARA INSTALACOES ELETRICAS A PROVA DE TEMPO;
UMIDADES;
GASES;
VAPORES E POS;
DIAMETRO INTERNO 3/4 POLEGADA;
DIAMETRO EXTERNO 1 POLEGADA;
REVESTIMENTO DE PVC.</t>
  </si>
  <si>
    <t>ELECTRODUCTO, FLEXIBLE;
CINTA DE ACERO;
PROTECCION SUPERFICIAL CINCADO;
PARA INSTALACIONES ELECTRICAS A PRUEBA DE TIEMPO;
HUMEDAD;
GASES;
VAPORES Y POLVO;
DIAMETRO INTERNO 3/4 PULGADA;
DIAMETRO EXTERNO 1 PULGADA;
REVESTIDO DE PVC.</t>
  </si>
  <si>
    <t>710572</t>
  </si>
  <si>
    <t xml:space="preserve">| Sugestao PR=10.0
| Sugestao MAX=46.0
</t>
  </si>
  <si>
    <t>TERMINAL ELET COMP CU 16MM2 COPEL</t>
  </si>
  <si>
    <t>P:\Mfotos\Padronizadas\710572(A).jpg</t>
  </si>
  <si>
    <t>017231-6 - COPEL</t>
  </si>
  <si>
    <t>51525 20.0
30313 10.0
72423 6.0</t>
  </si>
  <si>
    <t>TERMINAL, ELETRICO COMPRESSAO;
TIPO MACICO;
COBRE ELETROLITICO;
CONDUTIVIDADE MAIOR QUE 98%;
TIPO CONSTRUTIVO CURTO;
BITOLA 16 mm2;
COMPRIMENTO 66 mm;
CONFORME NORMA(S) TECNICA(S) NTC 917015 COPEL.</t>
  </si>
  <si>
    <t>TERMINAL, ELECTRICO COMPRESION;
TIPO MACIZO;
COBRE ELECTROLITICO;
CONDUCTIVIDAD MAYOR QUE 98%;
TIPO CONSTRUCTIVO CORTO;
CALIBRE 16 mm2;
LARGO 66 mm;
CONFORME NORMA(S) TECNICA(S) NTC 917015 COPEL.</t>
  </si>
  <si>
    <t>327921</t>
  </si>
  <si>
    <t>ELETRODUTO RIG ACO/ZQ NPT 4" EXT/PES</t>
  </si>
  <si>
    <t>P:\Mfotos\Padronizadas\327921(A).jpg</t>
  </si>
  <si>
    <t>ELETRODUTO;
ACO CARBONO;
PROTECAO SUPERFICIAL ZINCADO A QUENTE;
FABRICACAO SEM COSTURA;
TIPO EXTRA-PESADO;
ACABAMENTO INTERNO ISENTO DE REARBAS;
EXTREMIDADE(S) ROSCADAS COM UMA LUVA;
ROSCA NPT;
DIAMETRO NOMINAL 4 POLEGADAS;
ESPESSURA DA PAREDE 6 mm;
COMPRIMENTO 3 m;
NORMA TECNICA APLICAVEL NBR 5597.</t>
  </si>
  <si>
    <t>ELECTRODUCTO;
ACERO CARBONO;
PROTECCION SUPERFICIAL CINCADO A FUEGO;
FABRICACION SIN COSTURA;
TIPO EXTRA-PESADO;
ACABADO INTERNO EXENTO DE REBARBAS;
EXTREMIDAD(ES) A ROSCAS CON UNA UNION;
ROSCA NPT;
DIAMETRO NOMINAL 4 PULGADAS;
ESPESOR DE LA PARED 6 mm;
LARGO 3 m;
NORMAS TECNICAS APLICABLES NBR 5597.</t>
  </si>
  <si>
    <t>234265</t>
  </si>
  <si>
    <t xml:space="preserve">| Sugestao PR=1400.0
| Sugestao MAX=2884.0
</t>
  </si>
  <si>
    <t>TERMINAL ELET COMP ANEL 1,5/2,5MM2 5MM</t>
  </si>
  <si>
    <t>P:\Mfotos\Padronizadas\234265(A).jpg</t>
  </si>
  <si>
    <t>30314 2175.0
30412 600.0
30315 200.0
72423 200.0
52630 100.0</t>
  </si>
  <si>
    <t>TERMINAL, ELETRICO COMPRESSAO;
TIPO ANEL;
COBRE ELETROLITICO;
PROTECAO SUPERFICIAL ESTANHADO;
COM UM FURO PARA PARAFUSO DE 5 mm;
CORPO FECHADO;
ISOLACAO DE PVC;
COR AZUL;
FAIXA DE BITOLAS 1,5 A 2,5 mm2.</t>
  </si>
  <si>
    <t>TERMINAL, ELECTRICO COMPRESION;
TIPO ANILLO;
COBRE ELECTROLITICO;
PROTECCION SUPERFICIAL ESTANADO;
CON UN AGUJERO PARA TORNILLO DE 5 mm;
CUERPO CERRADO;
AISLACION CON PVC;
COLOR AZUL;
FAJA DE LA SECCION 1,5 A 2,5 mm2.</t>
  </si>
  <si>
    <t>Sugerimos que sea adquirido para este item:
MARCA: INTELLI - TP-2,5-5
MARCA CIMPER - REF. AN2435
O material deverá ser fornecido separado em pacotes contendo 100un cada.</t>
  </si>
  <si>
    <t>Sugerimos que sea adquirido para este item:
MARCA: INTELLI - TP-2,5-5
MARCA CIMPER - REF. AN2435
El material deberá ser proveido en paquetes con 100un cada.</t>
  </si>
  <si>
    <t>703698</t>
  </si>
  <si>
    <t xml:space="preserve">| Sugestao PR=12.0
</t>
  </si>
  <si>
    <t>CHAVE FUS DISTR 1P 27KV 100/300A 8KA</t>
  </si>
  <si>
    <t>P:\Mfotos\Padronizadas\703698(A).jpg</t>
  </si>
  <si>
    <t>39040311</t>
  </si>
  <si>
    <t>[15.0]</t>
  </si>
  <si>
    <t>71423 53.0</t>
  </si>
  <si>
    <t>CHAVE FUSIVEL, DISTRIBUICAO;
NUMERO DE POLOS 1;
TENSAO NOMINAL 27 kV;
FREQUENCIA NOMINAL 50 Hz;
CORRENTE NOMINAL DO PORTAFUSIVEL 100 A;
CORRENTE NOMINAL DA BASE 300 A;
NIVEL DE ISOLAMENTO 125 kV;
CAPACIDADE DE INTERRUPCAO SIMETRICA 8 kA;
CAPACIDADE DE INTERRUPCAO ASSIMETRICA 12 kA;
CONECTOR PARALELO PARA CABO 10 A 120 mm2;
NORMAS TECNICAS APLICAVEIS ABNT/ANSI/IEC.</t>
  </si>
  <si>
    <t>LLAVE FUSIBLE, DISTRIBUCION;
NUMERO DE POLOS 1;
TENSION NOMINAL 27 kV;
FRECUENCIA NOMINAL 50 Hz;
CORRIENTE NOMINAL DEL PORTAFUSIBLE 100 A;
CORRIENTE NOMINAL DE LA BASE 300 A;
NIVEL DE AISLAMIENTO 125 kV;
CAPACIDAD DE INTERRUPCION SIMETRICA 8 kA;
CAPACIDAD DE INTERRUPCION ASIMETRICA 12 kA;
CONECTOR PARALELO PARA CABLE 10 AL 120 mm2;
NORMAS TECNICAS APLI CABLES ABNT/ANSI/IEC.</t>
  </si>
  <si>
    <t>REFERENCIA
DELMAR DGC-125</t>
  </si>
  <si>
    <t>697192</t>
  </si>
  <si>
    <t>DISJUNTOR TERMOMAG 2P 230/440V 25A</t>
  </si>
  <si>
    <t>P:\Mfotos\Padronizadas\697192(A).jpg</t>
  </si>
  <si>
    <t>S282 UC K 25A - ABB</t>
  </si>
  <si>
    <t>30412 5.0</t>
  </si>
  <si>
    <t>DISJUNTOR;
TIPO TERMOMAGNETICO;
TIPO DE CAIXA PLASTICA;
NUMERO DE POLOS 2;
CARACTERISTICAS DE OPERACAO MANUAL;
TIPO DE ACIONAMENTO ALAVANCA SIMPLES BASCULANTE;
TENSAO NOMINAL 230/400 Vcc/Vca;
CORRENTE NOMINAL 25 A;
CAPACIDADE INTERRUP SIMETRICA 6 kA EM 400 Vca/440
Vcc;
CURVA DE DISPARO K;
NUMERO E TIPO CONTATOS AUXIL 1NA/1NF;
CORRENTE CONTATOS AUXILIARES 4 A;
ELEMENTO MAGNETICO FIXO EM 8 A 14XIN;
TIPO DE CONEXAO FRONTAL;
CONFORME NORMA(S) TECNICA(S) IEC 60947-2;
EN 60947-2.</t>
  </si>
  <si>
    <t>DISYUNTOR;
TIPO TERMOMAGNETICO;
TIPO DE CAJA PLASTICA;
NUMERO DE POLOS 2;
CARACTERISTICAS DE OPERACION MANUAL;
TIPO DE ACCIONAMIENTO PALANCA SIMPLE BASCULANTE;
TENSION NOMINAL 230/400 Vcc/Vca;
CORRIENTE NOMINAL 25 A;
CAPACIDAD INTERRUP SIMETRICA 6 kA EN 400 Vca/440 Vcc;
CURVA DE DISPARO K;
NUMERO Y TIPO CONTACTOS AUXIL 1NA/1NC;
CORRIENTE CONTACTOS AUXIL 4 A;
ELEMENTO MAGNETICO FIJO EN 8 A 14XIN;
TIPO DE CONEXION FRONTAL;
CONFORME NORMA(S) TECNICA(S) IEC 60947-2;
EN 60947-2.</t>
  </si>
  <si>
    <t>REFERENCIA:
S282 UC K 25A + auxiliar - ABB
ou
S202M-K25UC + auxiliar - ABB</t>
  </si>
  <si>
    <t>ORIGINAL - S282UCK25 + S2-H11 - ABB</t>
  </si>
  <si>
    <t>241296</t>
  </si>
  <si>
    <t>Verificar se os outros materiais do grupo necessitam de reposição</t>
  </si>
  <si>
    <t>BATERIA ELET ALCAL RETANG 9V</t>
  </si>
  <si>
    <t>P:\Mfotos\Padronizadas\241296(A).jpg</t>
  </si>
  <si>
    <t>U11</t>
  </si>
  <si>
    <t>10010205</t>
  </si>
  <si>
    <t>10</t>
  </si>
  <si>
    <t>30324 160.0
51525 54.0
72423 42.0
50141 31.0
52612 30.0</t>
  </si>
  <si>
    <t>19217.0</t>
  </si>
  <si>
    <t>BRUNA BEZERRA DA SILVA ELETRONICA</t>
  </si>
  <si>
    <t>BATERIA, ELETRICA SECA;
SISTEMA ELETROQUIMICO ALCALINA;
FORMATO RETANGULAR;
TIPO(S) DE TERMINAL(IS) RADIAIS;
DEVEM CONSTAR NAS BATERIAS;
DATA DE VALIDADE(MES/ANO);
ORIENTACAO PARA DESCARTE;
EMBALAGEM/MARCA/NOME COMERCIAL;
NOME FABRICANTE/IMPORTADOR;
PAIS DE ORIGEM/DESIGNACAO;
POLARIDADE DOS TERMINAIS;
TENSAO NOMINAL;
NUMERO DE SERIE DA EMBALAGEM;
DATA DE FABRICACAO;
TENSAO NOMINAL 9 V;
LARGURA 16,5 mm;
CONFORME NORMA(S) TECNICA(S) IEC 60086.</t>
  </si>
  <si>
    <t>BATERIA, ELECTRICA SECA;
SISTEMA ELECTROQUIMICO ALCALINA;
FORMA RECTANGULAR;
TIPO(S) DE TERMINAL(ES) RADIALES;
DEBEN CONSTAR EN LAS BATERIAS;
FECHA DE VALIDEZ(MES/ANO);
ORIENTACION PARA DESCARTE;
EMBALAJE/MARCA/NOMBRE COMERCIAL;
NOMBRE FABRICANTE/IMPORTADOR;
PAIS DE ORIGEN/DESIGNACION;
POLARIDAD DE LOS TERMINALES;
TENSION NOMINAL;
NUMERO DE SERIE DEL EMBALAJE;
FECHA DE FABRICACION;
TENSION NOMINAL 9 V;
ANCHO 16,5 mm;
CONFORME NORMA(S) TECNICA(S) IEC 60086.</t>
  </si>
  <si>
    <t>O produto deverá estar em  conformidade com a norma
IEC 60086, partes 1 e 2, exibindo nas baterias/emba-
lagens a marca/nome comercial, nome do fabricante,
importador/país  de  origem,  designação, polaridade
dos terminais, tensão nominal,número de série da
embalagem, data de validade(mês/ano)e orientação para
descarte.
Os produtos deverão ser fornecido com data de data
ta de validade mínima de 24 (vinte e quatro) meses,
contados a partir da data de entrega.
Com requisitos de Compras Sustentables.</t>
  </si>
  <si>
    <t>El producto deberá estar en conformidad con la norma
IEC 60086(partes 1 y 2), escrita en la bateria/emba-
laje, marca/nombre comercial, nombre del fabricante,
importador/país de origen, designaciòn, polaridad de
los terminales, tensiòn nominal, número de serie del
embalaje, fecha de vencimiento (mes/año) y  orienta-
ciòn para descarte.
Los productos deben ser proveido con la fecha de ven-
cimiento mìnima de 24 (veinte y cuatro) meses, contados
a partir de la fecha de la entrega.
Con requisitos de Compras Sustentables.</t>
  </si>
  <si>
    <t>327867</t>
  </si>
  <si>
    <t xml:space="preserve">| Alterar para ZP, CMM = 21.0
| Verificar reserva
</t>
  </si>
  <si>
    <t>ELETRODUTO RIG ACO/ZQ NPT 3"</t>
  </si>
  <si>
    <t>P:\Mfotos\Padronizadas\327867(A).jpg</t>
  </si>
  <si>
    <t>30412 306.0
51524 48.0
52630 39.0
71400 9.0
71423 6.0</t>
  </si>
  <si>
    <t>ELETRODUTO RIGIDO METALICO;
TIPO PESADO;
TIPO CONSTRUTIVO COM COSTURA, REBARBA REMOVIDA,
(ISENTO DE REBARBAS);
EXTREMIDADES ROSCADAS;
TIPO DE ROSCA NPT;
FORNECIMENTO COM UMA LUVA EM UMA PONTA;
MATERIAL ACO CARBONO;
ACABAMENTO SUPERFICIAL ZINCADO A QUENTE;
DIAMETRO NOMINAL 80 (3");
DIAMETRO EXTERNO 88,9 mm;
ESPESSURA NOMINAL DA PAREDE 3,75 mm;
PESO TEORICO SEM LUVA 8,035 Kg/m;
COMPRIMENTO 3 m;
NORMAS TECNICAS APLICAVEIS ABNT NBR 5597.</t>
  </si>
  <si>
    <t>ELECTRODUCTO RIGIDO METALICO;
TIPO PESADO;
TIPO CONSTRUCTIVO CON COSTURA, REBARBA REMOVIDA,
(EXENTO DE REBARBAS);
EXTREMO(S) A ROSCAS;
TIPO DE LA ROSCA NPT;
SUMISTRADO CON UNA UNION EN UNA PUNTA;
MATERIAL ACERO CARBONO;
ACABADO SUPERFICIAL CINCADO A FUEGO;
DIAMETRO NOMINAL 80 (3");
DIAMETRO EXTERNO 88,9 mm;
ESPESOR NOMINAL DE LA PARED 3,75 mm;
PESO TEORICO SIN UNION 8,035 Kg/m;
LARGO 3 m;
NORMAS TECNICAS APLICABLES ABNT NBR 5597.</t>
  </si>
  <si>
    <t>Antes de transportar o eletroduto à Itaipu,
Deverá informar por e.mail ao gestor o peso médio do eletroduto.
Os eletrodutos serão inspecionados de acordo com a NBR 5597: 2013,
seguindo os seguintes requisitos:
- A superfície interna dos tubos deve estar livre de arestas cortantes,
o que pode danificar o isolamento do condutor.
- A espessura mínima da parede deve ser medida de acordo com o item
4.5.2.
- O diâmetro externo será medido com variações admitidas conforme item
4.5.3 tabela 2.
- Será feita a pesagem da massa de acordo com a tabela 1 (8,035 Kg/m)),
serão admitidas variações, por menos de 10%, não sendo limitada a
variação por mais.</t>
  </si>
  <si>
    <t>Antes de transportar el electorduto a la Itaipu,
Deberá informar al gestor por correo el peso promedio del electroduto.
Los conductos serán inspeccionados de acuerdo con NBR 5597: 2013,
siguiendo los siguientes requisitos:
- La superficie interna de los tubos no debe tener bordes afilados.
que puede dañar el aislamiento del conductor.
- El espesor mínimo de la pared debe medirse según el artículo.
4.5.2
- El diámetro exterior se medirá con variaciones permitidas según el
artículo.
4.5.3 tabla 2.
- La masa se pesará de acuerdo con la tabla 1 (8,035 Kg/m), se admitirán
variaciones, en menos del 10%, sin limitarse a
variación para más.</t>
  </si>
  <si>
    <t>589063</t>
  </si>
  <si>
    <t xml:space="preserve">| Alterar para ZP, CMM = 1.0
| Verificar reserva
</t>
  </si>
  <si>
    <t>DISJUNTOR TERMOMAG 3P 440V 63A 10KA C</t>
  </si>
  <si>
    <t>P:\Mfotos\Padronizadas\589063(A).jpg</t>
  </si>
  <si>
    <t>A9F84363 - SCHNEIDER</t>
  </si>
  <si>
    <t>71423 15.0
30311 1.0
30412 1.0
52524 1.0</t>
  </si>
  <si>
    <t>DISJUNTOR;
TIPO TERMOMAGNETICO;
MOLDADA;
TIPO DE CAIXA FIXACAO SOBRE TRILHO 35 mm;
NUMERO DE POLOS 3;
CARACTERISTICAS DE OPERACAO MANUAL;
TIPO DE ACIONAMENTO ALAVANCA;
TENSAO NOMINAL 440 V;
CORRENTE NOMINAL 63 A;
CAPACIDADE INTERRUP SIMETRICA 10 kA EM 440 V;
AJUSTE DO ELEMENTO TERMICO FIXO;
AJUSTE DO ELEMENTO MAGNETICO FIXO;
CURVA DE DISPARO C (5 A 10 X IN);
TIPO DE CONEXAO FRONTAL;
ALTURA 85 mm;
LARGURA 54 mm;
PROFUNDIDADE 78,5 mm;
CONFORME NORMA(S) TECNICA(S) IEC 60947-2.</t>
  </si>
  <si>
    <t>DISYUNTOR;
TIPO TERMOMAGNETICO;
CAJA MOLDEADA;
TIPO DE FIJACION SOBRE RIEL 35 mm;
NUMERO DE POLOS 3;
CARACTERISTICAS DE OPERACION MANUAL;
TIPO DE ACCIONAMIENTO PALANCA;
TENSION NOMINAL 440 V;
CORRIENTE NOMINAL 63 A;
CAPACIDAD INTERRUP SIMETRICA 10 kA EN 440 V;
AJUSTE ELEMENTO TERMICO FIJO;
AJUSTE ELEMENTO MAGNETICO FIJO;
CURVA DE DISPARO C (5 A 10 X IN);
TIPO DE CONEXION FRONTAL;
ALTURA 85 mm;
ANCHO 54 mm;
PROFUNDIDAD 78,5 mm;
CONFORME NORMA(S) TECNICA(S) IEC 60947-2.</t>
  </si>
  <si>
    <t>REFERENCIA:
SCHNEIDER ELECTRIC modelo A9F84363
IC60H</t>
  </si>
  <si>
    <t>ORIGINAL - C60H-3P-63A - MERLIN GERIN
ORIGINAL - C60H - MERLIN GERIN</t>
  </si>
  <si>
    <t>710987</t>
  </si>
  <si>
    <t>670847</t>
  </si>
  <si>
    <t xml:space="preserve">| Alterar para ZP, CMM = 3.0
</t>
  </si>
  <si>
    <t>PLUGUE IND MACH 3P+T 440V 63A 11H</t>
  </si>
  <si>
    <t>P:\Mfotos\Padronizadas\670847(A).jpg</t>
  </si>
  <si>
    <t>S45711 - STECK</t>
  </si>
  <si>
    <t>30311 32.0
30314 13.0
30412 8.0
30315 1.0
71423 1.0</t>
  </si>
  <si>
    <t>PLUGUE, INDUSTRIAL;
MACHO;
AUTO-EXTINGUIVEL;
4 POLOS (3P + T);
TENSAO 440 V;
CORRENTE 63 A;
TERRA EM 11 HORAS;
GRAU DE PROTECAO IP67;
CONFORME NORMA(S) ABNT NBR IEC 60309-1.</t>
  </si>
  <si>
    <t>ENCHUFE, INDUSTRIAL;
MACHO;
AUTOEXTINGUIBLE;
4 POLOS (3P + T);
TENSION 440 V;
CORRIENTE 63 A;
TIERRA EN 11 HORAS;
GRADO DE PROTECCON IP-67;
CONFORME LA(S) NORMA(S) ABNT NBR IEC 60309-1.</t>
  </si>
  <si>
    <t>Referência:
S45711 - STECK</t>
  </si>
  <si>
    <t>Referencia:
S45711 - STECK</t>
  </si>
  <si>
    <t>714352</t>
  </si>
  <si>
    <t xml:space="preserve">| Sugestao PR=321.0
| Sugestao MAX=511.0
</t>
  </si>
  <si>
    <t>LUMINARIA LED SOBREP 67W 6500K 158X1266</t>
  </si>
  <si>
    <t>P:\Mfotos\Padronizadas\714352(A).jpg</t>
  </si>
  <si>
    <t>39010219</t>
  </si>
  <si>
    <t>09855 VS-108 - INTRAL</t>
  </si>
  <si>
    <t>[868.0]</t>
  </si>
  <si>
    <t>30314 132.0
30315 128.0
71423 110.0
51524 90.0
51515 50.0</t>
  </si>
  <si>
    <t>LUMINARIA, LED;
TIPO SOBREPOR;
MATERIAL DO CORPO POLICARBONATO, DIFUSOR LEITOSO;
COR DO CORPO CINZA;
DRIVE INTEGRADO;
POTENCIA MAXIMA 67 W;
INDICE REPRODUCAO DE COR (IRC) MAIOR QUE 80;
TEMPERATURA DE COR 6500 K (+/-300 K);
FLUXO LUMINOSO MINIMO 9000 LM;
EFICIENCIA LUMINOSA MINIMA 140 LM/W;
TENSAO NOMINAL ALIMENTACAO 220 V;
FREQUENCIA 50/60 HZ;
FATOR DE POTENCIA MAIOR OU IGUAL A 0,95;
DISTORCAO HARMONICA (THD) MAXIMA 10 %;
ANGULO FACHO LUMINOSO 120 grau;
GRAU DE PROTECAO MINIMO IP-65;
FIXACAO GARRAS DE PRESSAO,, DE ACO INOXIDAVEL;
CONEXAO CABO PP, COMPRIMENTO 600,00 MM, COM PLUGUE
2P + T, 10A, 250V, (ABNT NBR 14136), PERMITE USO
SENSOR PRESENCA;
VIDA UTIL SUPERIOR A 50.000 H (L70-25ºC);
ALTURA MAXIMA 110 mm;
LARGURA MAXIMA 158 mm;
COMPRIMENTO MAXIMO 1266 mm;
NORMA TECNICA APLICAVEL IEC 61000-3-2, ANSI C78.377,
LM-80, TM-21, ABNT NBR 14136.</t>
  </si>
  <si>
    <t>LUMINARIA, LED;
TIPO ADOSADO;
MATERIAL DEL CUERPO POLICARBONATO,
DIFUSOR LECHOSO;
COLOR DEL CUERPO GRIS;
DRIVER INTEGRADO;
POTENCIA MAXIMA 67 W;
INDICE REPRODUCION DE COLOR (IRC) MAYOR QUE 80;
TEMPERATURA DE COLOR 6500 K (+/-300 K);
FLUJO LUMINOSO MINIMO 9000 lm;
EFICIENCIA LUMINOSA MINIMA 140 lm/W;
TENSION NOMINAL ALIMENTACION 220 V;
FRECUENCIA 50/60 Hz;
FACTOR DE POTENCIA MAYOR O IGUAL A 0,95;
DISTORSION ARMONICA (THD) MAXIMA 10 %;
ANGULO FLUJO LUMINOSO 120 GRADOS (+/-10);
GRADO DE PROTECCION MINIMO IP-65;
FIJACION GARRAS DE PRESION DE ACERO INOXIDABLE;
CONEXION CABLE PP, LARGO MINIMO 600 mm, CON ENCHUFE
2P + T, 10 A 250 V, (ABNT NBR 14136);
PERMITE USO SENSOR PRESENCIA;
VIDA UTIL SUPERIOR A 50.000 H (L70-25°C);
ALTURA MAXIMA 110 mm;
ANCHO MAXIMO 158 mm;
LARGO MAXIMO 1266 mm;
CONFORME NORMA(S) TECNICA(S) IEC 61000-3-2,
ANSI C78.377, LM-80, TM-21, ABNT NBR 14136.</t>
  </si>
  <si>
    <t>Sugerimos que seja adquirida a referência
09855 VS-108 marca Intral, por ser o  ma-
terial adquirido para testes e aprovados,
conforme laudo do Laboratório  Eletroele-
trônico da Itaipu.
CON REQUISITOS DE COMPRAS SUSTENTABLES</t>
  </si>
  <si>
    <t>Sugerimos que sea adquirida la referencia
09855 VS-108 marca Intral, por ser el ma-
terial adquirido para ensayo y aprobados,
de acuerdo con los informes del Laborato-
rio Eletroelectronico de la Itaipu.
CON REQUISITOS DE COMPRAS SUSTENTABLES</t>
  </si>
  <si>
    <t>ORIGINAL - 09855VS-108 - INTRAL</t>
  </si>
  <si>
    <t>222836</t>
  </si>
  <si>
    <t>BRACADEIRA NYL AUTOTR 2,6X105MM</t>
  </si>
  <si>
    <t>ZO</t>
  </si>
  <si>
    <t>P:\Mfotos\Padronizadas\222836(A).jpg</t>
  </si>
  <si>
    <t>39030237</t>
  </si>
  <si>
    <t>16</t>
  </si>
  <si>
    <t>K8 - REIMOLD</t>
  </si>
  <si>
    <t>30314 20800.0
71332 10650.0
50141 2700.0
72423 1800.0
51525 1500.0</t>
  </si>
  <si>
    <t>BRACADEIRA;
SIMPLES;
POLIAMIDA/NYLON 6.6;
FECHAMENTO AUTO TRAVANTE SEM RETORNO;
ESPESSURA 1 mm;
LARGURA 2,6 mm;
+/1 mm;
COMPRIMENTO TOTAL 105 mm;
+/5 mm;
TENSAO MINIMA DE RUPTURA 80 N.</t>
  </si>
  <si>
    <t>ABRAZADERA;
SIMPLE;
POLIAMIDA/NYLON 6.6;
CIERRE AUTOTRABANTE SIN RETORNO;
ESPESOR 1 mm;
ANCHO 2,6 mm +/1 mm;
LARGO TOTAL 105 mm +/5 mm;
RESISTENCIA A LA TRACION 80 N.</t>
  </si>
  <si>
    <t>O material deverá ser fornecido separado em pacotes
contendo 100 ou 200 unidades de cada.
Referência:
K8 - Reimold
F7010NYNA100 - FRONTEC</t>
  </si>
  <si>
    <t>El material debera ser proveidos separado en paquetes
conteniendo 100 o 200 un cada.
Referencia:
K8 - Reimold
F7010NYNA100 - FRONTEC</t>
  </si>
  <si>
    <t>710662</t>
  </si>
  <si>
    <t>******* Politica ZL</t>
  </si>
  <si>
    <t>BATERIA AUTOMOT PRATA-EST 12V 60A/H</t>
  </si>
  <si>
    <t>ZL</t>
  </si>
  <si>
    <t>P:\Mfotos\Padronizadas\710662(A).jpg</t>
  </si>
  <si>
    <t>MI60GD - MOURA</t>
  </si>
  <si>
    <t>52512 50.0
30313 33.0
30213 31.0
71331 8.0
51512 7.0</t>
  </si>
  <si>
    <t>25828.0</t>
  </si>
  <si>
    <t>ELETROBAT DISTRIB DE BATERIAS LTDA</t>
  </si>
  <si>
    <t>BATERIA, AUTOMOTIVA;
TIPO CHUMBO ACIDO;
LIGA PRATA ESTANHO;
LIVRE DE MANUTENCAO;
MATERIAL DO RECIPIENTE POLIPROPILENO;
CAPACIDADE 60AH;
TENSAO NOMINAL 12 V;
TIPO(S) DE TERMINAL(IS) CONICOS (POLO DIN);
DIAMETRO BASE POLO POSITIVO;
19,5 mm;
CONICIDADE 1:9;
ALTURA 18 mm;
DIAMETRO BASE POLO NEGATIVO;
17,90 mm;
CONICIDADE 1:9;
ALTURA 18 mm;
MONTAGEM POLO POSITIVO DIREITO;
FIXACAO DA BATERIA PELA BASE;
LARGURA 175 mm;
ALTURA 175 mm;
COMPRIMENTO 246 mm;
CONFORME NORMA(S) TECNICA(S) ABNT NBR 15940.</t>
  </si>
  <si>
    <t>BATERIA, AUTOMOVIL;
TIPO PLOMO Y ACIDO;
ALEACION PLATA-ESTANO;
LIBRE DE MANTENIMIENTO;
MATERIAL DE LA CARCASA POLIPROPILENO;
CAPACIDAD 60AH;
TENSION NOMINAL 12 V;
TERMINALES CONICOS(POLO DIN) ;
DIAMETRO BASE POLO POSITIVO 19,5 mm;
CONICIDAD 1:9;
ALTURA 18 mm;
DIAMETRO BASE POLO NEGATIVO 17,90 mm;
CONICIDAD 1:9;
ALTURA 18 mm;
POSICION DEL POLO POSITIVO DERECHA;
FIJACION DE LA BATERIA POR LA BASE;
ANCHO 175 mm;
ALTURA 175 mm;
LARGO 246 mm;
CONFORME NORMA(S) TECNICA(S)ABNT NBR 15940.</t>
  </si>
  <si>
    <t>Sugerimos que seja adquirido para esse item
Marcas : Moura ou Delco
Garantia minima de 12 meses
Material com requisitos de Compras Sustentáveis
A compra não será realizada a base de troca.</t>
  </si>
  <si>
    <t>Sugerimos que sea adquirido para este item
Marcas : Moura ou Delco
Garantia minima de 12 meses
Material con requisitos de Compras Sustentables
La compra no se realizará en régimen de cambio.</t>
  </si>
  <si>
    <t>ORIGINAL - MI60GD - MOURA</t>
  </si>
  <si>
    <t>327611</t>
  </si>
  <si>
    <t xml:space="preserve">| Volume da OP alto, considerar entrega parcelada
| Sugestao PR=263.0
| Sugestao MAX=602.0
</t>
  </si>
  <si>
    <t>ELETRODUTO FLEX ACO/POLIV 1"</t>
  </si>
  <si>
    <t>P:\Mfotos\Padronizadas\327611(A).jpg</t>
  </si>
  <si>
    <t>30412 450.0
71423 128.0
52524 114.0
50141 92.0
30314 82.0</t>
  </si>
  <si>
    <t>ELETRODUTO, FLEXIVEL;
ACO;
PROTECAO SUPERFICIAL ZINCADO;
PARA INSTALACOES ELETRICAS;
A PROVA DE TEMPO;
UMIDADE;
VAPORES E POS;
DIAMETRO INTERNO 1 POLEGADA;
DIAMETRO EXTERNO 32 mm;
REVESTIMENTO DE POLIVINIL EXTRUDADO.</t>
  </si>
  <si>
    <t>ELECTRODUCTO, FLEXIBLE;
ACERO;
PROTECCION SUPERFICIAL ZINCADO;
PARA INSTALACIONES ELECTRICAS;
A PRUEBA DE TIEMPO;
HU MEDAD;
VAPORES Y POLVO;
DIAMETRO INTERNO 1 PULGADA;
DIAMETRO EXTERNO 32 mm;
REVESTIDO DE POLIVINIL EXTRUDADO.</t>
  </si>
  <si>
    <t>REFERENCIA:
MARCA TECNOFLEX</t>
  </si>
  <si>
    <t>263354</t>
  </si>
  <si>
    <t xml:space="preserve">| Sugestao PR=505.0
| Sugestao MAX=1492.0
</t>
  </si>
  <si>
    <t>REATOR VAP SOD INT AFP 400W 220V 50HZ</t>
  </si>
  <si>
    <t>P:\Mfotos\Padronizadas\263354(A).jpg</t>
  </si>
  <si>
    <t>RVSI-400-62 AFP - INTRAL</t>
  </si>
  <si>
    <t>71423 1364.0
51524 44.0
71332 2.0</t>
  </si>
  <si>
    <t>REATOR, LAMPADA VAPOR;
SODIO;
ALTA PRESSAO;
USO INTERNO;
MATERIAL DA CAIXA METAL FOSFATIZADO;
FATOR DE POTENCIA ALTO;
POTENCIA NOMINAL 400 W;
TENSAO NOMINAL 220 V;
FREQUENCIA NOMINAL 50 Hz;
ACESSORIO(S) COM IGNITOR E CAPACITOR;
FIXACAO APARAFUSADO PELA BASE;
ALTURA MAXIMA 88 mm;
LARGURA MAXIMA 100 mm;
PROFUNDIDADE MAXIMA 152 mm;
NORMAS TECNICAS APLICAVEIS ABNT NBR IEC 662;
REFERENCIA RSVI-400/52 + IVSAP-4500;
FABRICANTE INTRAL.</t>
  </si>
  <si>
    <t>REACTANCIA, LAMPARA VAPOR;
SODIO;
ALTA PRESION;
USO INTERNO;
MATERIAL DE LA CAJA METAL FOSFATIZADO;
FACTOR DE POTENCIA ALTO;
POTENCIA NOMINAL 400 W;
TENSIÓN NOMINAL 220 V;
FRECUENCIA NOMINAL 50 Hz;
ACCESORIOS COM IGNITOR Y CAPACITOR;
FIJACION APARAFUSADO PELA BASE;
ALTURA MAXIMA 88 mm;
ANCHO MAXIMO 100 mm;
PROFUNDIDAD MAXIMA 152 mm;
NORMAS TECNICAS APLICABLES ABNT NBR IEC 662;
REFERENCIA RSVI-400/52 + IVSAP-4500;
FABRICANTE INTRAL.</t>
  </si>
  <si>
    <t>Garantia de 24 meses</t>
  </si>
  <si>
    <t>Garantia de 24 meses.</t>
  </si>
  <si>
    <t>708605</t>
  </si>
  <si>
    <t xml:space="preserve">| Sugestao PR=18.0
| Sugestao MAX=50.0
</t>
  </si>
  <si>
    <t>DISJUNTOR TERMOMAG 3P 440V 32A C</t>
  </si>
  <si>
    <t>P:\Mfotos\Padronizadas\708605(A).jpg</t>
  </si>
  <si>
    <t>A9F74332 - SCHNEIDER ELECTRIC</t>
  </si>
  <si>
    <t>[34.0]</t>
  </si>
  <si>
    <t>71423 49.0
72423 25.0
30412 17.0
30315 4.0</t>
  </si>
  <si>
    <t>DISJUNTOR;
TIPO TERMOMAGNETICO;
TIPO DE CAIXA PLASTICA;
EXECUCAO FIXA;
MONTAGEM SOBRE TRILHO;
NUMERO DE POLOS 3;
CARACTERISTICAS DE OPERACAO ALAVANCA SIMPLES
BASCULANTE;
TIPO DE ACIONAMENTO MANUAL;
TENSAO DE ISOLAMENTO 440 V;
CORRENTE NOMINAL 32 A;
CAPACIDADE INTERRUP SIMETRICA 20 kA EM 220/240 Vca;
AJUSTE DO ELEMENTO TERMICO FIXO;
AJUSTE DO ELEMENTO MAGNETICO FIXO 5 A 10XIN;
TIPO DE CONEXAO FRONTAL COM PRENSACABOS;
ALTURA 81 mm;
LARGURA 54 mm;
PROFUNDIDADE 75 mm;
CONFORME NORMA(S) TECNICA(S) IEC 60947-2.</t>
  </si>
  <si>
    <t>DISYUNTOR;
TIPO TERMOMAGNETICO;
TIPO DE CAJA PLASTICA;
EJECUCION FIJA;
MONTAJE SOBRE RIEL;
NUMERO DE POLOS 3;
CARACTERISTICAS DE OPERACION PALANCA SIMPLE
BASCULANTE;
TIPO DE ACCIONAMIENTO MANUAL;
TENSION DE AISLAMIENTO 440 V;
CORRIENTE NOMINAL 32 A;
CAPACIDAD INTERRUP SIMETRICA 20 kA EN 220/240 Vca;
AJUSTE ELEMENTO TERMICO FIJO;
AJUSTE ELEMENTO MAGNETICO FIJO 5 A 10XIN;
TIPO DE CONEXION FRONTAL CON PRENSACABLES;
ALTURA 81 mm;
ANCHO 54 mm;
PROFUNDIDAD 75 mm;
CONFORME NORMA(S) TECNICA(S) IEC 60947-2.</t>
  </si>
  <si>
    <t>REFERENCIA:
IC60N - A9F74332 - SCHNEIDER ELETRIC</t>
  </si>
  <si>
    <t>ORIGINAL - C60N-32A - MERLIN GERIN
ORIGINAL - IC60N-3P-C32A (A9F74332) - SCHNEIDER ELECTRIC
ORIGINAL - EZ9F33332 - SCHNEIDER ELECTRIC</t>
  </si>
  <si>
    <t>714685</t>
  </si>
  <si>
    <t xml:space="preserve">| Sugestao PR=12.0
| Sugestao MAX=46.0
</t>
  </si>
  <si>
    <t>ISOLADOR RETEN SILIC 23KV 7 SAIAS</t>
  </si>
  <si>
    <t>P:\Mfotos\Padronizadas\714685(A).jpg</t>
  </si>
  <si>
    <t>26030201</t>
  </si>
  <si>
    <t>PTE-028-70R - SANTANA</t>
  </si>
  <si>
    <t>[50.0]</t>
  </si>
  <si>
    <t>71423 101.0</t>
  </si>
  <si>
    <t>ISOLADOR;
TIPO RETENCAO;
PARA REDE ELETRICAS DE MEDIA TENSAO;
CHAVETA EM ACO INOXIDAVEL;
PINO EM ACO FORJADO GALVANIZADO QUENTE;
GARFO E OLHO EM ACO FORJADO GALVANIZADO QUENTE;
REVESTIMENTO EM SILICONE HTV;
NUCLEO EM EPOXI E FIBRA DE VIDRO;
NUMERO DE SAIAS 7;
TENSAO NOMINAL DE SERVICO 23 kV;
TENSAO SUPORTAEL DE IMPULSO ATMOSFERICO
A SECO 175 kV;
TENSAO SOPORTAVEL SOB CHUVA A FRECUENCIA
INDUSTRIAL 80 kV;
CARGA MECANICA ESPECIFICADA 50 kN;
CARGA MECANICA ROTINA 25 kN;
ESPESSURA DO OLHO 13,5 mm;
+/- 0,8 mm;
DIAMETRO DO OLHO 22,2 mm;
+/- 1,6 mm;
ABERTURA DO GARFO 17,5 - 19 mm;
COMPRIMENTO NOMINAL 420 mm;
+/- 30 mm.</t>
  </si>
  <si>
    <t>AISLADOR;
TIPO RETENCION;
PARA RED ELETRICAS DE MEDIA TENSION;
CHAVETA EM ACERO INOXIDABLE;
PASADOR EN ACERO FORJADO GALVANIZADO CALIENTE;
HORQUILLA Y OJO EN ACERO FORJADO GALVANIZADO CALIENTE;
RECUBRIMIENTO EN SILICONA HTV;
NUCLEO EN EPOXI E FIBRA DE VIDRO;
NUMERO DE CAMPANAS 7;
TENSION NOMINAL DE SERVICIO 23 kV;
TENSION SOPORTABLE DE IMPULSO ATMOSFERICO
EN SECO 175 kV;
TENSION SOPORTABLE BAJO LLUVIA A FRECUENCIA
INDUSTRIAL 80 kV;
CARGA MECANICA ESPECIFICADA 50 kN;
CARGA MECANICA RUTINA 25 kN;
ESPESOR DEL OJO 13,5 mm;
+/- 0,8 mm;
DIAMETRO DEL OJO 22,2 mm;
+/- 1,6 mm;
ABERTURA HORQUILLA 17,5 - 19 mm;
LARGO NOMINAL 420 mm;
+/- 30 mm.</t>
  </si>
  <si>
    <t>Referência:
PTE-028-70R - Santana</t>
  </si>
  <si>
    <t>Referencia:
PTE-028-70R - Santana</t>
  </si>
  <si>
    <t>327204</t>
  </si>
  <si>
    <t xml:space="preserve">| Sugestao PR=24.0
| Sugestao MAX=87.0
</t>
  </si>
  <si>
    <t>BUCHA ELETROD ATER ACO/ZF NPT 3"</t>
  </si>
  <si>
    <t>P:\Mfotos\Padronizadas\327204(A).jpg</t>
  </si>
  <si>
    <t>[114.0]</t>
  </si>
  <si>
    <t>30412 185.0
52612 4.0</t>
  </si>
  <si>
    <t>BUCHA, ELETRODUTO;
TIPO COM TERMINAL DE ATERRAMENTO;
FORMATO OITAVADO;
MATERIAL FERRO FUNDIDO MALEAVEL;
PROTECAO SUPERFICIAL ZINCADO A QUENTE;
TIPO DE ROSCA NPT;
DIAMETRO NOMINAL 3 POLEGADAS.</t>
  </si>
  <si>
    <t>UNION, ELECTRODUTO;
TIPO CON TERMINAL PUESTA A TIERRA;
FORMA HEXAGONAL;
MATERIAL HIERRO FUNDIDO MALEABLE;
PROTECCION SUPERFICIAL ZINCADO AL FUEGO;
TIPO DE ROSCA NPT;
DIAMETRO NOMINAL 3 PULGADAS.</t>
  </si>
  <si>
    <t>REFERENCIA:
Marca
HAWSER
Modelo
3"</t>
  </si>
  <si>
    <t>715097</t>
  </si>
  <si>
    <t xml:space="preserve">| Sugestao PR=45.0
| Sugestao MAX=85.0
</t>
  </si>
  <si>
    <t>BUCHA ELETROD RED AL NPT 1.1/2X1"</t>
  </si>
  <si>
    <t>P:\Mfotos\Padronizadas\715097(A).jpg</t>
  </si>
  <si>
    <t>ACP15/N5533A - ALPHA EQUIPAMENTOS ELETRI</t>
  </si>
  <si>
    <t>30412 114.0
30314 30.0
72423 4.0</t>
  </si>
  <si>
    <t>BUCHA, ELETRODUTO;
TIPO REDUCAO;
MATERIAL ALUMINIO;
TIPO DE ROSCA NPT;
DIAMETRO NOMINAL 1.1/2X1 POLEGADA.</t>
  </si>
  <si>
    <t>UNION, ELECTRODUTO;
TIPO REDUCCION;
MATERIAL ALUMINIO;
TIPO DE ROSCA NPT;
DIAMETRO NOMINAL 1.1/2X1 PULGADA.</t>
  </si>
  <si>
    <t>REFERENCIA
ACP15/N5533A - ALPHA EQUIPAMENTOS ELETRICOS</t>
  </si>
  <si>
    <t>498238</t>
  </si>
  <si>
    <t>TERMOSTATO LOC 1NF 0/60°C</t>
  </si>
  <si>
    <t>P:\Mfotos\Padronizadas\498238(A).jpg</t>
  </si>
  <si>
    <t>KTO 011 - STEGO</t>
  </si>
  <si>
    <t>TERMOSTATO;
TIPO LEITURA LOCAL;
FAIXA DE AJUSTE 0 A 60 ºC;
CORRENTE NOMINAL DOS CONTATOS 10A (RESISTIVA) EM
250V;
TIPO DO ELEMENTO SENSOR BIMETALICO;
CONEXAO PARAFUSO;
GRAU DE PROTECAO IP20;
CONTATO(S) 1NF, MATERIAL CORPO TERMOPLASTICO,
ANTICHAMA;
FIXACAO TRILHO DIN DE 35,00MM;
LARGURA MAXIMA 33 mm;
ALTURA MAXIMA 90 mm;
PROFUNDIDADE MAXIMA 48 mm.</t>
  </si>
  <si>
    <t>TERMOSTATO;
TIPO LEITURA LOCAL;
RANGO AJUSTE 0 A 60 ºC;
CORRIENTE NOMINAL CONTACTOS 10A (RESISTIVA) EM 250V;
TIPO DEL ELEMENTO SENSOR BIMETALICO;
CONEXION PARAFUSO;
GRADO DE PROTECCION IP20;
CONTACTOS(S) 1NF, MATERIAL CORPO TERMOPLASTICO,
ANTICHAMA;
FIJACION TRILHO DIN DE 35,00MM;
ANCHO MAXIMO 33 mm;
ALTURA MAXIMA 90 mm;
PROFUNDIDAD MAXIMA 48 mm.</t>
  </si>
  <si>
    <t>SIMILAR - KTO (01140.0-00) - STEGO
ORIGINAL - KTO (01140.0-00) - STEGO
ORIGINAL - KTO (01140.0-00) - -
SUBSTITUTO - KTO (01140.0-00) - STEGO
ORIGINAL - - - -
ORIGINAL - FLZ520 - PFANNEMBERG</t>
  </si>
  <si>
    <t>714707</t>
  </si>
  <si>
    <t xml:space="preserve">| Sugestao MAX=8.0
</t>
  </si>
  <si>
    <t>INTERRUPTOR DIFER 4P 240/415V 30MA 40A</t>
  </si>
  <si>
    <t>P:\Mfotos\Padronizadas\714707(A).jpg</t>
  </si>
  <si>
    <t>RKN-40-4/30MA - LS</t>
  </si>
  <si>
    <t>[7.0]</t>
  </si>
  <si>
    <t>71423 7.0
30314 4.0</t>
  </si>
  <si>
    <t>INTERRUPTOR;
TIPO DIFERENCIAL;
TIPO DE CAIXA MOLDADA;
NUMERO DE POLOS 4 (3P+N);
CARACTERISTICAS DE OPERACAO MANUAL;
TIPO DE ACIONAMENTO ALAVANCA;
CORRENTE RESIDUAL 30 mA;
TENSAO NOMINAL 240/415 V;
NORMA TECNICA APLICAVEL ABNT NBR IEC 61008-1.</t>
  </si>
  <si>
    <t>INTERRUPTOR;
TIPO DIFERENCIAL;
TIPO DE CAJA MOLDADA;
NUMERO DE POLOS 4 (3P+N);
CARACTERISTICAS DE OPERACION MANUAL;
TIPO DE ACCIONAMIENTO PALANCA;
CORRIENTE RESIDUAL 30 mA;
TENSION NOMINAL 240/415 V;
NORMA TECNICA APLICABLE ABNT NBR IEC 61008-1.</t>
  </si>
  <si>
    <t>REFERENCIA:
SCHNEIDER - A9R71440 INTERRUPTOR DIFERENCIAL RESIDUAL</t>
  </si>
  <si>
    <t>715839</t>
  </si>
  <si>
    <t xml:space="preserve">| Sugestao PR=17.0
| Sugestao MAX=28.0
</t>
  </si>
  <si>
    <t>LUMINARIA LED SOBREP 40W 5000K IP66</t>
  </si>
  <si>
    <t>P:\Mfotos\Padronizadas\715839(A).jpg</t>
  </si>
  <si>
    <t>EWL51/40 120º PS - NAVILLE</t>
  </si>
  <si>
    <t>[211.0]</t>
  </si>
  <si>
    <t>30412 30.0
30314 2.0</t>
  </si>
  <si>
    <t>LUMINARIA, LED;
TIPO SOBREPOR;
MATERIAL DO CORPO LIGA ALUMINIO FUNDIDO;
PROTECAO SUPERFICIAL PINTURA ELETROSTATICA;
COR DO CORPO CINZA CLARO MUNSELL N 6,5;
MATERIAL DO DIFUSOR VIDRO PLANO TEMPERADO;
TIPO DE LED LIGHTING CLASS CREE;
DRIVE INTEGRADO, PROTECAO SURTO ATE 0,6 KV;
POTENCIA 40 W;
TEMPERATURA DE COR 5.000 K +/- 10%;
FLUXO LUMINOSO MINIMO 3840 lm;
TENSAO NOMINAL ALIMENTACAO 127 - 220 Vca;
FREQUENCIA 50/60 Hz;
FATOR DE POTENCIA MINIMO 0,90;
DISTORCAO HARMONICA MENOR QUE 20%;
ANGULO FACHO LUMINOSO 140º (+/- 15°);
GRAU DE PROTECAO IP-66W (GAS E PO);
FIXACAO SUPORTE ACO ZINCADO QUENTE, AJUSTE VERTICAL
E HORIZONTAL, AJUSTE DE ANGULO;
CONEXAO PRENSA CABO 1/2 POLEGADA BSP;
VIDA UTIL MINIMA 50.000 h (LM70);
ALTURA MAXIMA 166 mm;
LARGURA MAXIMA 210 mm;
COMPRIMENTO MAXIMO 750 MM;
NORMA TECNICA APLICAVEL ABNT NBR IEC 60079-0/1/31,
ABNT NBR IEC 60529.</t>
  </si>
  <si>
    <t>LUMINARIA, LED;
TIPO SOBREPONER;
MATERIAL DEL CUERPO ALEACION ALUMINIO FUNDIDO;
PROTECCION SUPERFICIAL PINTURA ELECTROSTATICA;
COLOR DEL CUERPO GRIS CLARO MUNSELL N 6,5;
MATERIAL DEL DIFUSOR VIDRIO PLANO TEMPLADO;
TIPO DE LED LIGHTING CLASS CREE;
DRIVE INTEGRADO, PROTECCION SURTO ATE 0,6 KV;
POTENCIA 40 W;
TEMPERATURA DE COLOR 5.000 K +/- 10%;
FLUJO LUMINOSO MINIMO 3840 lm;
TENSION NOMINAL ALIMENTACAO 127 - 220 Vca;
FRECUENCIA 50/60 Hz;
FATOR DE POTENCIA MINIMO 0,90;
DISTORCION HARMONICA MENOR QUE 20%;
ANGULO FACHO LUMINOSO 140º (+/- 15°);
GRADO DE PROTECCION IP-66W (GAS Y POLVO);
FIJACION SOPORTE ACERO ZINCADO AL FUEGO, AJUSTE
VERTICAL Y HORIZONTAL, AJUSTE DE ANGULO;
CONEXION PRENSA CABLE 1/2 PULEGADA BSP;
VIDA UTIL MINIMA 50.000 h (LM70);
ALTURA MAXIMA 166 mm;
ANCHO MAXIMO 210 mm;
LARGOO MAXIMO 750 MM;
NORMA TECNICA APLICABLE ABNT NBR IEC 60079-0/1/31,
ABNT NBR IEC 60529.</t>
  </si>
  <si>
    <t>Marca referencia
EWL51/40 120º PS - NAVILLE</t>
  </si>
  <si>
    <t>708099</t>
  </si>
  <si>
    <t xml:space="preserve">| Sugestao PR=1
| Sugestao PR=1
| Sugestao MAX=1
</t>
  </si>
  <si>
    <t>DISJUNTOR TERMOMAG 3P 0,25A</t>
  </si>
  <si>
    <t>P:\Mfotos\Padronizadas\708099(A).jpg</t>
  </si>
  <si>
    <t>3RV1011-0CA10 - SIEMENS</t>
  </si>
  <si>
    <t>DISJUNTOR;
TIPO TERMOMAGNETICO;
TIPO DE CAIXA MOLDADA, NAO EXTRAIVEL, FIXACAO PELA
BASE, POR TRILHO DIN 50022;
NUMERO DE POLOS 3;
CARACTERISTICAS DE OPERACAO MANUAL;
TIPO DE ACIONAMENTO ALAVANCA SIMPLES BASCULANTE;
TENSAO DE ISOLAMENTO 460 V;
CORRENTE NOMINAL 0,25 A;
CAPACIDADE INTERRUP SIMETRICA 100KA EM 240V;
AJUSTE DO ELEMENTO TERMICO 0,18 A 0,25A;
TIPO DE CONEXAO FRONTAL, TAMANHO S00;
ALTURA 89 mm;
LARGURA 45 mm;
PROFUNDIDADE 75 mm;
NORMA TECNICA APLICAVEL IEC 947-2;
REFERENCIA 3RV2011-0CA10;
MARCA SIEMENS.</t>
  </si>
  <si>
    <t>DYSJUNTOR;
TIPO TERMOMAGNETICO;
CAJA MOLDEADA ;
NO EXTRAIBLE;
FIJACION POR LA BASE;
POR RIEL DIN 50022;
NUMERO DE POLOS 3;
CARACTERISTICAS DE OPERACION MANUAL;
TIPO DE ACCIONAMIENTO PALANCA SIMPLE BASCULANTE;
TENSION DE AISLAMIENTO 460 Vca;
CORRIENTE NOMINAL 0,25 A;
CAPACIDAD INTERRUP SIMETRICA 100 kA EN 240 V;
AJUSTE ELEMENTO TERMICO 0,18 A 0,25 A;
TIPO DE CONEXION FRONTAL;
TAMANO S00;
ALTURA 89 mm;
ANCHO 45 mm;
PROFUNDIDAD 75 mm;
3RV2011-0CA10 SIEMENS;
CONFORME NORMA(S) TECNICA(S) IEC 60947-2.</t>
  </si>
  <si>
    <t>3RV1011-0CA10
ou
3RV2011-0CA10</t>
  </si>
  <si>
    <t>3RV1011-0CA10
o
3RV2011-0CA10</t>
  </si>
  <si>
    <t>FAZ-SE NECESSARIA A AQUISICAO DOS  MATE-
RIAIS CONSTANTE NESTA REQC., DA MARCA  E
MODELO ESPECIFICADO, TENDO EM VISTA  NE-
CESSIDADE  DE  COMPATIBILIDADE TECNICA E
DIMENSIONAL COM AS JA INSTALADAS NO SIS-
TEMA DE REGULADOR DE VELOCIDADE - QUADRO
PA CONTROLE DAS BOMBAS DE OLEO.</t>
  </si>
  <si>
    <t>ES NECESSARIA LA ADQUISICION DE LOS
MATERIALES DE ESTA SOLPE, DE LA MARCA  Y
MODELO INDICADO, TENIENDO EN CUENTA  LA
NECESIDAD DE COMPATIBILIDAD TECNICA Y
DIMENSIONAL CON LOS INSTALADAS NO SISTEMA
DE REGULADOR DE VELOCIDAD - TABLERO
PA CONTROL DE LAS BOMBAS DE ACEITE.</t>
  </si>
  <si>
    <t>ORIGINAL - 3RV1011-0CA10 - SIEMENS</t>
  </si>
  <si>
    <t>714705</t>
  </si>
  <si>
    <t xml:space="preserve">| Sugestao PR=180.0
| Sugestao MAX=363.0
</t>
  </si>
  <si>
    <t>LAMPADA VAP SODIO TUB E-40 250W</t>
  </si>
  <si>
    <t>P:\Mfotos\Padronizadas\714705(A).jpg</t>
  </si>
  <si>
    <t>39010202</t>
  </si>
  <si>
    <t>NAV-T 250 W SUPER 4Y - OSRAM</t>
  </si>
  <si>
    <t>71423 548.0</t>
  </si>
  <si>
    <t>LAMPADA, VAPOR SODIO;
TIPO ALTA PRESSAO;
TIPO DE BULBO TUBULAR;
ACABAMENTO DO BULBO TRANSPARENTE;
BASE E-40;
POTENCIA 250 W;
CORRENTE NOMINAL 2,95 A;
TEMPERATURA DE COR 2000 K;
FLUXO LUMINOSO MINIMO 33200 lm;
EFICIENCIA LUMINOSA MINIMO 130 lm/W;
VIDA UTIL MEDIANA ACIMA DE 35000 H;
DIAMETRO EXTERNO MAXIMO 50 mm;
COMPRIMENTO TOTAL MAXIMO 260 MM.</t>
  </si>
  <si>
    <t>LAMPARA, VAPOR SODIO;
TIPO ALTA PRESION;
TIPO DE BULBO TUBULAR;
ACABADO DEL BULBO TRANSPARENTE;
BASE E-40;
POTENCIA 250 W;
CORRIENTE NOMINAL 2,95 A;
TEMPERATURA DE COLOR 2000 K;
FLUJO LUMINOSO MINIMO 33200 lm;
EFICIENCIA LUMINOSA MINIMA 130 lm/W;
VIDA UTIL MEDIANA ENCIMA DE 35000 H;
DIAMETRO EXTERNO MAXIMO 50 mm;
LARGO TOTAL MAXIMO 260 MM.</t>
  </si>
  <si>
    <t>REF NAV-T 250 W SUPER 4Y - OSRAM</t>
  </si>
  <si>
    <t>712779</t>
  </si>
  <si>
    <t xml:space="preserve">| Sugestao PR=28.0
| Sugestao MAX=220.0
</t>
  </si>
  <si>
    <t>PLUGUE IND MACH 2P+T 200/250V 16A 6H</t>
  </si>
  <si>
    <t>P:\Mfotos\Padronizadas\712779(A).jpg</t>
  </si>
  <si>
    <t>N-3076 - STECK</t>
  </si>
  <si>
    <t>[437.0]</t>
  </si>
  <si>
    <t>30314 467.0
30311 70.0
30315 12.0
30316 9.0
30324 5.0</t>
  </si>
  <si>
    <t>PLUGUE, INDUSTRIAL;
MACHO;
CARCACA EM POLIAMIDA 6.6;
AUTO-EXTINGUIVEL;
VEDACAO EM NEOPRENE;
TERMINAIS EM LATAO;
3 POLOS (2P + T);
TENSAO 200/250 V;
CORRENTE 16 A;
TERRA EM 6 HORAS;
GRAU DE PROTECAO IP-44;
CONFORME NORMA(S) ABNT NBR IEC 60309-1.</t>
  </si>
  <si>
    <t>ENCHUFE, INDUSTRIAL;
MACHO;
CARCAZA EN POLIAMIDA 6.6;
AUTO-EXTINGUIBLE;
SELLO EN NEOPRENE;
TERMINALES EN LATON;
3 POLOS (2P + T);
TENSION 200/250 V;
CORRIENTE 16 A;
TIERRA EN 6 HORAS;
GRADO DE PROTECCON IP-44;
CONFORME LA(S) NORMA(S) ABNT NBR IEC 60309-1.</t>
  </si>
  <si>
    <t>REFERENCIA:
N-3076 - STECK
3076/BC - STRAHL</t>
  </si>
  <si>
    <t>646350</t>
  </si>
  <si>
    <t xml:space="preserve">| Sugestao PR=4.0
| Sugestao MAX=6.0
</t>
  </si>
  <si>
    <t>CAIXA LIG EXP RETANG 400X275X160MM</t>
  </si>
  <si>
    <t>P:\Mfotos\Padronizadas\646350(A).jpg</t>
  </si>
  <si>
    <t>30412 4.0
30314 1.0</t>
  </si>
  <si>
    <t>CAIXA, LIGACAO EXPOSTA;
FORMATO RETANGULAR;
ALUMINIO FUNDIDO;
COR CINZA MARTELADO;
ACABAMENTO ESMALTADO;
TAMPA PLANA;
A PROVA DE TEMPO;
JUNTA DE NEOPRENE;
DIMENSOES 400X275X160 mm.</t>
  </si>
  <si>
    <t>CAJA, CONEXION EXPUESTA;
FORMA COLOR PROTECCION SUPERFICIAL ACABADO TAPA
ENTRADAS TIPO ROSCA DIAMETRO NOMINAL DIMENSIONES.</t>
  </si>
  <si>
    <t>Referência
CMER14M/40</t>
  </si>
  <si>
    <t>707336</t>
  </si>
  <si>
    <t xml:space="preserve">| Sugestao PR=4.0
| Sugestao MAX=28.0
| Verificar reserva
</t>
  </si>
  <si>
    <t>DISJUNTOR TERMOMAG 2P 400V 32A 6KA C</t>
  </si>
  <si>
    <t>P:\Mfotos\Padronizadas\707336(A).jpg</t>
  </si>
  <si>
    <t>ACTI9 IC60N 2P CURVA C 32A 440V</t>
  </si>
  <si>
    <t>[11.0]</t>
  </si>
  <si>
    <t>30412 17.0
71423 3.0
51525 2.0
30314 1.0
30315 1.0</t>
  </si>
  <si>
    <t>DISJUNTOR;
TIPO TERMOMAGNETICO;
TIPO DE CAIXA PLASTICA, FIXACAO TRILHO DIN 35MM;
NUMERO DE POLOS 2;
CARACTERISTICAS DE OPERACAO MANUAL;
TIPO DE ACIONAMENTO ALAVANCA;
TENSAO DE ISOLAMENTO 400 V;
CORRENTE NOMINAL 32 A;
CAPACIDADE INTERRUP SIMETRICA 6KA EM 400V;
AJUSTE DO ELEMENTO TERMICO FIXO;
AJUSTE DO ELEMENTO MAGNETICO FIXO;
ALTURA 81 mm;
LARGURA 36 mm;
PROFUNDIDADE 74 mm;
NORMAS TECNICAS APLICAVEIS ABNT NBR 60898.</t>
  </si>
  <si>
    <t>DISYUNTOR;
TIPO TERMOMAGNETICO;
TIPO DE CAJA PLASTICA, FIXACAO TRILHO DIN 35MM;
NUMERO DE POLOS 2;
CARACTERISTICAS DE OPERACION MANUAL;
TIPO DE ACCIONAMIENTO ALAVANCA;
TENSION DE AISLAMIENTO 400 V;
CORRIENTE NOMINAL 32 A;
CAPACIDAD INTERRUP SIMETRICA 6KA EM 400V;
AJUSTE DEL ELEMENTO TERMICO FIXO;
AJUSTE DEL ELEMENTO MAGNETICO FIXO;
ALTURA 81 mm;
ANCHO 36 mm;
PROFUNDIDAD 74 mm;
NORMAS TECNICAS APLICABLES ABNT NBR 60898.</t>
  </si>
  <si>
    <t>REFERENCIA:
ACTI9 IC60N 2P CURVA C 32A 440V
A9F74232</t>
  </si>
  <si>
    <t>ALTERNATIVO - C60N-2P-32A - SCHNEIDER ELECTRIC
ORIGINAL - EZ9F33232 - SCHNEIDER ELECTRIC</t>
  </si>
  <si>
    <t>298638</t>
  </si>
  <si>
    <t xml:space="preserve">| Alterar para ZP, CMM = 14.0
</t>
  </si>
  <si>
    <t>PRENSA CAB AL NPT 1" 20,0/22,5MM</t>
  </si>
  <si>
    <t>P:\Mfotos\Padronizadas\298638(A).jpg</t>
  </si>
  <si>
    <t>39030218</t>
  </si>
  <si>
    <t>30412 278.0</t>
  </si>
  <si>
    <t>PRENSA, CABO;
ALUMINIO;
TIPO DE FIXACAO COM BUCHA CONICA ELASTICA DE
BORRACHA;
DIAMETRO DO CABO 20 A 22,5 mm;
TIPO DE ROSCA NPT;
DIAMETRO DA ROSCA 25,40 mm.</t>
  </si>
  <si>
    <t>PRENSA, CABLE;
ALUMINIO;
TIPO DE FIJACION CON BUJE CONICO ELASTICO DE GOMA;
DIAMETRO DEL CABLE 20 A 22,5 mm;
TIPO DE ROSCA NPT;
DIAMETRO DE LA ROSCA 25,40 mm.</t>
  </si>
  <si>
    <t>REFERENCIA:
CONEX - CX/PC-3AL-NPT</t>
  </si>
  <si>
    <t>315710</t>
  </si>
  <si>
    <t xml:space="preserve">| Sugestao PR=254.0
| Sugestao MAX=755.0
</t>
  </si>
  <si>
    <t>TERMINAL ELET COMP TUB 35MM2 8,56MM</t>
  </si>
  <si>
    <t>P:\Mfotos\Padronizadas\315710(A).jpg</t>
  </si>
  <si>
    <t>[467.0]</t>
  </si>
  <si>
    <t>71423 419.0
30412 242.0
72423 238.0
51525 162.0
50141 150.0</t>
  </si>
  <si>
    <t>TERMINAL, ELETRICO COMPRESSAO;
TIPO ANEL TUBULAR;
COBRE ELETROLITICO;
PROTECAO SUPERFICIAL ESTANHADO;
COM UM FURO DE 8,56 mm;
CORPO FECHADO;
FAIXA DE BITOLAS 35 mm2 (1AWG).</t>
  </si>
  <si>
    <t>TERMINAL, ELECTRICO COMPRESION;
TIPO ANILLO TUBULAR;
COBRE ELECTROLITICO;
PROTECCION SUPERFICIAL ESTANADO;
CON UN AGUJERO DE 8,56 mm;
CUERPO CERRADO;
FAJA DE LA SECCION 35 mm2 (1AWG).</t>
  </si>
  <si>
    <t>REFERENCIA:
R 1516 - HOLLINGSWORTH
TM-35-8 - INTELLI</t>
  </si>
  <si>
    <t>547727</t>
  </si>
  <si>
    <t xml:space="preserve">| Sugestao PR=200.0
| Sugestao MAX=1301.0
| Verificar reserva
</t>
  </si>
  <si>
    <t>TERMINAL ELET PINO 0,25/1,6MM 20,07MM</t>
  </si>
  <si>
    <t>P:\Mfotos\Padronizadas\547727(A).jpg</t>
  </si>
  <si>
    <t>PI2686 - CRIMPER</t>
  </si>
  <si>
    <t>[400.0]</t>
  </si>
  <si>
    <t>30314 850.0
30315 100.0
72423 100.0
52630 50.0</t>
  </si>
  <si>
    <t>TERMINAL, ELETRICO COMPRESSAO;
TIPO PINO;
MATERIAL COBRE ELETROLITICO;
MATERIAL DA ISOLACAO PVC;
CORPO PRE-ISOLADO;
COR VERMELHA;
COMPRIMENTO 20,07 mm;
FAIXA DE BITOLAS 0,5 A 1,5MM2.</t>
  </si>
  <si>
    <t>TERMINAL, ELECTRICO COMPRESION;
TIPO PERNO;
COBRE ELECTROLITICO;
AISLAMIENTO EN PVC;
CUERPO PRE-ISOLADO;
COLOR ROJO;
RANGO DE LAS SECCIONES 0,5 A 1,5 mm2;
LARGO 20,07 mm.</t>
  </si>
  <si>
    <t>Indicação de referência:
WP 13005 SF - Hollingworth
PI2686 - Crimper
TPP 1,5-8 - Intelli</t>
  </si>
  <si>
    <t>234281</t>
  </si>
  <si>
    <t xml:space="preserve">| Sugestao PR=1566.0
| Sugestao MAX=3143.0
</t>
  </si>
  <si>
    <t>TERMINAL ELET COMP ANEL 4/6MM2 8MM</t>
  </si>
  <si>
    <t>P:\Mfotos\Padronizadas\234281(A).jpg</t>
  </si>
  <si>
    <t>AN2452 - CRIMPER OU TP 6-8 - INTELLI</t>
  </si>
  <si>
    <t>30314 1868.0
30412 1317.0
71423 398.0
30315 275.0
30313 150.0</t>
  </si>
  <si>
    <t>TERMINAL, ELETRICO COMPRESSAO;
TIPO ANEL;
COBRE ELETROLITICO;
PROTECAO SUPERFICIAL ESTANHADO;
COM UM FURO PARA PARAFUSO DE 8 mm;
CORPO FECHADO;
ISOLACAO DE PVC;
COR AMARELO;
BITOLAS 4 A 6 mm2.</t>
  </si>
  <si>
    <t>TERMINAL, ELECTRICO COMPRESION;
TIPO ANILLO;
COBRE ELECTROLITICO;
PROTECCION SUPERFICIAL ESTANADO;
CON UN AGUJERO PARA TORNILLO DE 8 mm;
CUERPO CERRADO;
AISLACION CON PVC;
COLOR AMARILLO;
SECCION 4 A 6 mm2.</t>
  </si>
  <si>
    <t>REFERENCIA
AN2452 - CRIMPER
TP 6-8 - INTELLI</t>
  </si>
  <si>
    <t>714521</t>
  </si>
  <si>
    <t xml:space="preserve">| Sugestao PR=57.0
| Sugestao MAX=123.0
</t>
  </si>
  <si>
    <t>PORCA OLHAL ACO/GALV 5/8"</t>
  </si>
  <si>
    <t>P:\Mfotos\Padronizadas\714521(A).jpg</t>
  </si>
  <si>
    <t>F1405-58 - FORJASUL</t>
  </si>
  <si>
    <t>71423 182.0
30411 15.0</t>
  </si>
  <si>
    <t>PORCA;
TIPO OLHAL;
PARA ESTRUTURA DE LINHAS AEREAS DE MEDIA E BAIXA
TENSAO;
MATERIAL FUNDICAO NODULAR OU BARA DE ACO COM
PORCA SOLDADA OU ACO FORJADO;
PROTECAO SUPERFICIAL GALVANIZADO EM BANHO,
ELETROLITICO, ESPESSURA MINIMA 15 MICRONS OU
GALVANIZADO A QUENTE;
TIPO DE ROSCA 5/8" WHITWORTH;
LARGURA INTERNA NOMINAL 27 a 40mm;
COMPRIMENTO INTERNO NOMINAL 43mm (+/-3mm);
ESPESSURA NOMINAL DO OLHAL 5/8" (16mm +/-1mm).</t>
  </si>
  <si>
    <t>TUERCA
TIPO OJAL;
PARA ESTRUCTURA DE LINEAS AEREAS, DE MEDIA Y BAJA
TENSION;
MATERIAL FUNDICION NODULAR, O VARA DE ACERO CON
TUERCA SOLDADA O ACERO FORJADO;
PROTECCION SUPERFICIAL GALVANIZADO EN BANO,
ELECTROLITICO ESPESURA MINIMA 15 MICRONES
O GALVANIZADO A FUEGO;
TIPO DE ROSCA 5/8" WHITWORTH;
ANCHO INTERNO NOMINAL 27 a 40mm;
LARGO INTERNO NOMINAL 43mm (+/-3mm);
ESPESOR NOMINAL DEL OJAL 5/8" (16mm +/-1mm).</t>
  </si>
  <si>
    <t>Referência:
F1405-58 - FORJASUL (TIPO DE ROSCA 5/8" WHITWORTH)
OU
OLHAL - 5/8" - NACIONAL</t>
  </si>
  <si>
    <t>Referencia:
F1405-58 - FORJASUL (TIPO DE ROSCA 5/8" WHITWORTH)
O
OLHAL - 5/8" - NACIONAL</t>
  </si>
  <si>
    <t>714619</t>
  </si>
  <si>
    <t xml:space="preserve">| Alterar para ZP, CMM = 6.0
</t>
  </si>
  <si>
    <t>BATERIA ELET LI-ION RECAR 18650 3,6V</t>
  </si>
  <si>
    <t>P:\Mfotos\Padronizadas\714619(A).jpg</t>
  </si>
  <si>
    <t>ARB-L18-3400 - FENIX</t>
  </si>
  <si>
    <t>30222 20.0
30311 18.0
30314 18.0
30324 13.0
72423 10.0</t>
  </si>
  <si>
    <t>113247.0</t>
  </si>
  <si>
    <t>LA GABINA SA</t>
  </si>
  <si>
    <t>BATERIA, ELETRICA SECA;
DENOMINACAO COMERCIAL 18650;
PARA LANTERNA LED ALTO BRILHO;
SISTEMA ELETROQUIMICO LI-ION;
CAPACIDADE NOMINAL 3400 MAH;
TENSAO NOMINAL 3,6 V;
VIDA UTIL 500 CICLOS DE CARGA;
DIAMETRO 18,6 mm;
COMPRIMENTO 68 mm.</t>
  </si>
  <si>
    <t>BATERIA, ELETRICA SECA;
DENOMINACION COMERCIAL 18650;
PARA LINTERNA LED ALTO BRILLO;
SISTEMA ELETROQUIMICO LI-ION;
CAPACIDAD NOMINAL 3400 MAH;
TENSION NOMINAL 3,6 V;
VIDA UTIL 500 CICLOS DE CARGA;
DIAMETRO 18,6 mm;
LARGO 68 mm.</t>
  </si>
  <si>
    <t>REFERENCIA SUGERIDA:
ARB-L18-3400 - FENIX
COM REQUISITOS DE COMPRAS SUSTENTAVEIS</t>
  </si>
  <si>
    <t>REFERENCIA SUGERIDA:
ARB-L18-3400 - FENIX
CON REQUISITOS DE COMPRAS SUSTENTABLES</t>
  </si>
  <si>
    <t>607100</t>
  </si>
  <si>
    <t>DISJUNTOR TERMOMAG 3P 690V 44-63A</t>
  </si>
  <si>
    <t>P:\Mfotos\Padronizadas\607100(A).jpg</t>
  </si>
  <si>
    <t>DESC</t>
  </si>
  <si>
    <t>3VA1163-5EF32-0AA0 + 3VA9988-0AB12 - SIEMENS</t>
  </si>
  <si>
    <t>100961.0</t>
  </si>
  <si>
    <t>RIEDER Y CIA. SACI</t>
  </si>
  <si>
    <t>DISJUNTOR;
TIPO CAIXA MOLDADA, NAO EXTRAIVEL;
TIPO DO DISPARADOR TERMOMAGNETICO;
NUMERO DE POLOS 3;
CARACTERISTICAS DE OPERACAO MANUAL;
TIPO DE ACIONAMENTO ALAVANCA;
TIPO DE CONEXAO PARAFUSO;
TENSAO NOMINAL 690 Vca;
TENSAO DE ISOLAMENTO MAIOR OU IGUAL TENSAO NOMINAL;
CORRENTE NOMINAL 63 A;
CAPACIDADE INTERRUP-Icu 440Vca 36 kA;
CAPACIDADE INTERRUP-Icu 500Vca 10 kA;
NUMERO/TIPO CONTATO ALARME 1NAF;
CORRENTE CONTATOS ALARME 6 A;
FREQUENCIA 50/60 Hz;
ELEMENTO TERMICO AJUSTAVEL 44 - 63 A;
ELEMENTO MAGNETICO AJUSTAVEL 315 - 630 A;
FIXACAO POR PARAFUSO;
ALTURA 130 mm;
LARGURA 76 mm;
PROFUNDIDADE 70 mm;
NORMAS TECNICAS APLICAVEIS ABNT NBR IEC 60947-2.</t>
  </si>
  <si>
    <t>DISYUNTOR;
TIPO CAJA MOLDEADA, NO EXTRAIBLE;
TIPO DEL DISPARADOR TERMOMAGNETICO;
NUMERO DE POLOS 3;
CARACTERISTICAS DE OPERACION MANUAL;
TIPO DE ACCIONAMIENTO PALANCA;
TIPO DE CONEXION TORNILLO;
TENSION NOMINAL 690 Vca;
TENSION DE AISLAMIENTO MAYOR O IGUAL TENSION NOMINAL;
CORRIENTE NOMINAL 63 A;
CAPACIDAD INTERRUP-Icu 440 Vca 36 kA;
CAPACIDAD INTERRUP-Icu 500 Vca 10 kA;
NUMERO/TIPO CONTATO ALARME 1NAC;
CORRIENTE CONTACTOS ALARMA 6 A;
FRECUENCIA 50/60 Hz;
ELEMENTO TERMICO AJUSTABLE 44 - 63 A;
ELEMENTO MAGNETICO AJUSTABLE 315 - 630 A;
FIJACION POR TORNILLO;
ALTURA 130 mm;
ANCHO 76 mm;
PROFUNDIDAD 70 mm;
NORMAS TECNICAS APLICABLES ABNT NBR IEC 60947-2.</t>
  </si>
  <si>
    <t>Referencia:
3VA1163-5EF32-0AA0 + 3VA9988-0AB12 - SIEMENS</t>
  </si>
  <si>
    <t>ORIGINAL - EHB-60A-3P - WESTINGHOUSE
SUBSTITUTO - 3VA1163-5EF32-0AA0 + 3VA9988-0AB12 - SIEMENS</t>
  </si>
  <si>
    <t>713001</t>
  </si>
  <si>
    <t xml:space="preserve">| Sugestao PR=50.0
| Sugestao MAX=110.0
</t>
  </si>
  <si>
    <t>LAMPADA LED 3500 MCD 12/24VDC</t>
  </si>
  <si>
    <t>P:\Mfotos\Padronizadas\713001(A).jpg</t>
  </si>
  <si>
    <t>LED W5W 12/24 VCC - LUMILED</t>
  </si>
  <si>
    <t>30314 148.0
30324 30.0
52524 1.0</t>
  </si>
  <si>
    <t>24467.0</t>
  </si>
  <si>
    <t>N. LANDMAYER COM DE MATERIAIS</t>
  </si>
  <si>
    <t>LAMPADA;
TIPO LED;
TIPO DE BULBO T10 W5 W;
TIPO DE BASE W2.1X9.5D;
ACABAMENTO DO BULBO CLARO;
TONALIDADE BLANCO;
TENSAO NOMINAL 12/24 VDC;
CORRENTE NOMINAL 0,02 A;
POTENCIA NOMINAL 0,24 W;
FLUXO LUMINOSO MINIMO 3500MCD;
ANGULO FACHO LUMINOSO 140GRAU;
COMPRIMENTO TOTAL 24 mm;
VIDA UTIL 60000 HORAS.</t>
  </si>
  <si>
    <t>LAMPARA;
TIPO LED;
TIPO DE AMPOLLA T10 W5 W;
TIPO DE BASE W2.1X9.5D;
ACABADO DE LA AMPOLLA CLARO;
TONALIDAD BLANCO;
TENSION NOMINAL 12/24 VDC;
CORRIENTE NOMINAL 0,02 A;
POTENCIA NOMINAL 0,24 W;
FLUJO LUMINOSO MINIMO 3500MCD;
ANGULO INCIDENCIA DE LUZ 120DEG;
LARGO TOTAL 24 mm;
VIDA UTIL 60000 HORAS.</t>
  </si>
  <si>
    <t>REFERENCIA:
- LED W5W 12/24 VCC - LUMILED
- PINGO DE LED BRANCA (100007) - FENIX
DEVERÁ SER FORNECIDO EM CAIXA COM 10 UNIDADES CADA.</t>
  </si>
  <si>
    <t>REFERENCIA:
- LED W5W 12/24 VCC - LUMILED
- PINGO DE LED BRANCA (100007) - FENIX
DEBERA SER PROVEIDO EN CAJA CON 10 UNIDADES CADA.</t>
  </si>
  <si>
    <t>DATA</t>
  </si>
  <si>
    <t>Ações</t>
  </si>
  <si>
    <t>Setor de At.</t>
  </si>
  <si>
    <t>Codigo</t>
  </si>
  <si>
    <t>PR</t>
  </si>
  <si>
    <t>Decisao</t>
  </si>
  <si>
    <t>MAX</t>
  </si>
  <si>
    <t>% analisado</t>
  </si>
  <si>
    <t>Politica</t>
  </si>
  <si>
    <t>Pre analise</t>
  </si>
  <si>
    <t>Informações Gerais</t>
  </si>
  <si>
    <t>Consumo no LT</t>
  </si>
  <si>
    <t>Politica atual</t>
  </si>
  <si>
    <t>TR (meses)</t>
  </si>
  <si>
    <t>LTD</t>
  </si>
  <si>
    <t>Saldo Virtual</t>
  </si>
  <si>
    <t>Qte OP</t>
  </si>
  <si>
    <t>Valor OP (USD)</t>
  </si>
  <si>
    <t>Valor unitario (USD)</t>
  </si>
  <si>
    <t>Volume OP</t>
  </si>
  <si>
    <t>DEMPRO</t>
  </si>
  <si>
    <t>Em req</t>
  </si>
  <si>
    <t>Em OC</t>
  </si>
  <si>
    <t>Tendencia</t>
  </si>
  <si>
    <t>Outliers</t>
  </si>
  <si>
    <t>Qte em reserva</t>
  </si>
  <si>
    <t>Rtp1</t>
  </si>
  <si>
    <t>Rtp2</t>
  </si>
  <si>
    <t>Rtp3</t>
  </si>
  <si>
    <t>Rtp6</t>
  </si>
  <si>
    <t>Informações Sobressalentes</t>
  </si>
  <si>
    <t>Ultimas OC</t>
  </si>
  <si>
    <t>Consumo por Ceco (ult 3 anos)</t>
  </si>
  <si>
    <t>Qte em LMR</t>
  </si>
  <si>
    <t>Centro</t>
  </si>
  <si>
    <t>Qtd</t>
  </si>
  <si>
    <t>N° peça fabricante</t>
  </si>
  <si>
    <t>Ultima compra</t>
  </si>
  <si>
    <t>Repor</t>
  </si>
  <si>
    <t>Não repor</t>
  </si>
  <si>
    <t>CMM</t>
  </si>
  <si>
    <t>Mods texto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</si>
</sst>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quot;\ * #,##0.00_-;\-&quot;R$&quot;\ * #,##0.00_-;_-&quot;R$&quot;\ * &quot;-&quot;??_-;_-@_-"/>
    <numFmt numFmtId="164" formatCode="yyyy\-mm\-dd\ hh:mm:ss"/>
  </numFmts>
  <fonts count="8" x14ac:knownFonts="1">
    <font>
      <sz val="11"/>
      <color theme="1"/>
      <name val="Aptos Narrow"/>
      <family val="2"/>
      <scheme val="minor"/>
    </font>
    <font>
      <sz val="11"/>
      <color rgb="FF9C5700"/>
      <name val="Aptos Narrow"/>
      <family val="2"/>
      <scheme val="minor"/>
    </font>
    <font>
      <b/>
      <sz val="11"/>
      <color theme="1"/>
      <name val="Aptos Narrow"/>
      <family val="2"/>
      <scheme val="minor"/>
    </font>
    <font>
      <sz val="11"/>
      <color theme="1"/>
      <name val="Aptos Narrow"/>
      <family val="2"/>
      <scheme val="minor"/>
    </font>
    <font>
      <b/>
      <sz val="11"/>
      <name val="Calibri"/>
      <family val="2"/>
    </font>
    <font>
      <sz val="12"/>
      <color theme="1"/>
      <name val="Aptos Narrow"/>
      <family val="2"/>
      <scheme val="minor"/>
    </font>
    <font>
      <b/>
      <sz val="11"/>
      <name val="Aptos Narrow"/>
      <family val="2"/>
    </font>
    <font>
      <sz val="11"/>
      <color rgb="FF000000"/>
      <name val="Aptos Narrow"/>
      <family val="2"/>
    </font>
  </fonts>
  <fills count="8">
    <fill>
      <patternFill patternType="none"/>
    </fill>
    <fill>
      <patternFill patternType="gray125"/>
    </fill>
    <fill>
      <patternFill patternType="solid">
        <fgColor rgb="FFFFEB9C"/>
      </patternFill>
    </fill>
    <fill>
      <patternFill patternType="solid">
        <fgColor theme="3" tint="0.749992370372631"/>
        <bgColor indexed="64"/>
      </patternFill>
    </fill>
    <fill>
      <patternFill patternType="solid">
        <fgColor theme="5"/>
        <bgColor theme="5"/>
      </patternFill>
    </fill>
    <fill>
      <patternFill patternType="solid">
        <fgColor theme="3" tint="0.89999084444715716"/>
        <bgColor indexed="64"/>
      </patternFill>
    </fill>
    <fill>
      <patternFill patternType="solid">
        <fgColor rgb="FFFF1900"/>
        <bgColor indexed="64"/>
      </patternFill>
    </fill>
    <fill>
      <patternFill patternType="solid">
        <fgColor rgb="FF00C864"/>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5"/>
      </left>
      <right/>
      <top style="thin">
        <color theme="5"/>
      </top>
      <bottom/>
      <diagonal/>
    </border>
  </borders>
  <cellStyleXfs count="4">
    <xf numFmtId="0" fontId="0" fillId="0" borderId="0"/>
    <xf numFmtId="0" fontId="1" fillId="2" borderId="0"/>
    <xf numFmtId="44" fontId="3" fillId="0" borderId="0"/>
    <xf numFmtId="9" fontId="3" fillId="0" borderId="0"/>
  </cellStyleXfs>
  <cellXfs count="35">
    <xf numFmtId="0" fontId="0" fillId="0" borderId="0" xfId="0"/>
    <xf numFmtId="0" fontId="1" fillId="2" borderId="0" xfId="1"/>
    <xf numFmtId="0" fontId="0" fillId="3" borderId="0" xfId="0" applyFill="1" applyAlignment="1">
      <alignment vertical="center"/>
    </xf>
    <xf numFmtId="0" fontId="0" fillId="0" borderId="0" xfId="0" applyAlignment="1">
      <alignment horizontal="left"/>
    </xf>
    <xf numFmtId="0" fontId="0" fillId="0" borderId="0" xfId="0" applyAlignment="1">
      <alignment horizontal="center" vertical="center" wrapText="1"/>
    </xf>
    <xf numFmtId="14" fontId="0" fillId="0" borderId="0" xfId="0" applyNumberFormat="1" applyAlignment="1">
      <alignment horizontal="center"/>
    </xf>
    <xf numFmtId="0" fontId="0" fillId="0" borderId="0" xfId="0" applyAlignment="1">
      <alignment vertical="center"/>
    </xf>
    <xf numFmtId="14" fontId="0" fillId="0" borderId="0" xfId="0" applyNumberFormat="1"/>
    <xf numFmtId="0" fontId="0" fillId="0" borderId="0" xfId="0" applyAlignment="1">
      <alignment vertical="center" wrapText="1"/>
    </xf>
    <xf numFmtId="0" fontId="2" fillId="0" borderId="0" xfId="0" applyFont="1" applyAlignment="1">
      <alignment vertical="center"/>
    </xf>
    <xf numFmtId="0" fontId="0" fillId="0" borderId="0" xfId="0" applyAlignment="1">
      <alignment wrapText="1"/>
    </xf>
    <xf numFmtId="0" fontId="0" fillId="5" borderId="0" xfId="0" applyFill="1" applyAlignment="1">
      <alignment vertical="center" wrapText="1"/>
    </xf>
    <xf numFmtId="0" fontId="0" fillId="5" borderId="0" xfId="0" applyFill="1"/>
    <xf numFmtId="0" fontId="2" fillId="5" borderId="0" xfId="0" applyFont="1" applyFill="1" applyAlignment="1">
      <alignment vertical="center"/>
    </xf>
    <xf numFmtId="164" fontId="0" fillId="0" borderId="0" xfId="0" applyNumberFormat="1"/>
    <xf numFmtId="14" fontId="0" fillId="0" borderId="0" xfId="0" applyNumberFormat="1" applyAlignment="1">
      <alignment horizontal="left"/>
    </xf>
    <xf numFmtId="0" fontId="0" fillId="0" borderId="0" xfId="0" applyAlignment="1">
      <alignment horizontal="center"/>
    </xf>
    <xf numFmtId="0" fontId="4" fillId="4" borderId="1" xfId="0" applyFont="1" applyFill="1" applyBorder="1" applyAlignment="1">
      <alignment horizontal="center" vertical="top"/>
    </xf>
    <xf numFmtId="0" fontId="0" fillId="0" borderId="0" xfId="2" applyNumberFormat="1" applyFont="1" applyAlignment="1">
      <alignment horizontal="left"/>
    </xf>
    <xf numFmtId="0" fontId="5" fillId="5" borderId="0" xfId="0" applyFont="1" applyFill="1" applyAlignment="1">
      <alignment vertical="center" wrapText="1"/>
    </xf>
    <xf numFmtId="0" fontId="5" fillId="5" borderId="0" xfId="0" applyFont="1" applyFill="1"/>
    <xf numFmtId="0" fontId="0" fillId="0" borderId="0" xfId="0" applyAlignment="1">
      <alignment horizontal="center" vertical="center"/>
    </xf>
    <xf numFmtId="1" fontId="0" fillId="0" borderId="0" xfId="0" applyNumberFormat="1"/>
    <xf numFmtId="0" fontId="0" fillId="0" borderId="0" xfId="0" applyAlignment="1">
      <alignment horizontal="right"/>
    </xf>
    <xf numFmtId="9" fontId="0" fillId="0" borderId="0" xfId="3" applyFont="1" applyAlignment="1">
      <alignment horizontal="right"/>
    </xf>
    <xf numFmtId="0" fontId="0" fillId="6" borderId="0" xfId="0" applyFill="1"/>
    <xf numFmtId="164" fontId="0" fillId="6" borderId="0" xfId="0" applyNumberFormat="1" applyFill="1"/>
    <xf numFmtId="0" fontId="0" fillId="7" borderId="0" xfId="0" applyFill="1"/>
    <xf numFmtId="164" fontId="0" fillId="7" borderId="0" xfId="0" applyNumberFormat="1" applyFill="1"/>
    <xf numFmtId="0" fontId="6" fillId="0" borderId="2" xfId="0" applyFont="1" applyBorder="1" applyAlignment="1">
      <alignment horizontal="center" vertical="top"/>
    </xf>
    <xf numFmtId="0" fontId="0" fillId="0" borderId="3" xfId="0" applyBorder="1"/>
    <xf numFmtId="0" fontId="1" fillId="2" borderId="0" xfId="1" applyAlignment="1">
      <alignment horizontal="center"/>
    </xf>
    <xf numFmtId="0" fontId="0" fillId="0" borderId="0" xfId="0"/>
    <xf numFmtId="0" fontId="0" fillId="0" borderId="0" xfId="0" applyAlignment="1">
      <alignment horizontal="center" vertical="center" wrapText="1"/>
    </xf>
    <xf numFmtId="0" fontId="1" fillId="2" borderId="0" xfId="1" applyAlignment="1">
      <alignment horizontal="center" vertical="center"/>
    </xf>
  </cellXfs>
  <cellStyles count="4">
    <cellStyle name="Currency" xfId="2" builtinId="4"/>
    <cellStyle name="Neutral" xfId="1" builtinId="28"/>
    <cellStyle name="Normal" xfId="0" builtinId="0"/>
    <cellStyle name="Percent" xfId="3" builtinId="5"/>
  </cellStyles>
  <dxfs count="3">
    <dxf>
      <border outline="0">
        <top style="thin">
          <color auto="1"/>
        </top>
      </border>
    </dxf>
    <dxf>
      <border outline="0">
        <bottom style="thin">
          <color auto="1"/>
        </bottom>
      </border>
    </dxf>
    <dxf>
      <font>
        <b/>
        <i val="0"/>
        <strike val="0"/>
        <condense val="0"/>
        <extend val="0"/>
        <outline val="0"/>
        <shadow val="0"/>
        <u val="none"/>
        <vertAlign val="baseline"/>
        <sz val="11"/>
        <color auto="1"/>
        <name val="Aptos Narrow"/>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alcChain" Target="calcChain.xml"/><Relationship Id="rId5" Type="http://schemas.openxmlformats.org/officeDocument/2006/relationships/styles" Target="styles.xml"/><Relationship Id="rId10" Type="http://schemas.microsoft.com/office/2017/06/relationships/rdRichValueTypes" Target="richData/rdRichValueTypes.xml"/><Relationship Id="rId4" Type="http://schemas.openxmlformats.org/officeDocument/2006/relationships/theme" Target="theme/theme1.xml"/><Relationship Id="rId9" Type="http://schemas.microsoft.com/office/2017/06/relationships/rdRichValueStructure" Target="richData/rdrichvaluestructur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v>LTDs</c:v>
          </c:tx>
          <c:spPr>
            <a:solidFill>
              <a:schemeClr val="accent1"/>
            </a:solidFill>
            <a:ln>
              <a:noFill/>
              <a:prstDash val="solid"/>
            </a:ln>
          </c:spPr>
          <c:invertIfNegative val="0"/>
          <c:val>
            <c:numRef>
              <c:f>ANALISE!$X$14:$AL$14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1EC-42FC-A05A-11D2C5A4D5FB}"/>
            </c:ext>
          </c:extLst>
        </c:ser>
        <c:dLbls>
          <c:showLegendKey val="0"/>
          <c:showVal val="0"/>
          <c:showCatName val="0"/>
          <c:showSerName val="0"/>
          <c:showPercent val="0"/>
          <c:showBubbleSize val="0"/>
        </c:dLbls>
        <c:gapWidth val="150"/>
        <c:axId val="1386106992"/>
        <c:axId val="160013328"/>
      </c:barChart>
      <c:lineChart>
        <c:grouping val="standard"/>
        <c:varyColors val="0"/>
        <c:ser>
          <c:idx val="1"/>
          <c:order val="1"/>
          <c:tx>
            <c:v>PR</c:v>
          </c:tx>
          <c:spPr>
            <a:ln w="28575" cap="rnd">
              <a:solidFill>
                <a:schemeClr val="accent2"/>
              </a:solidFill>
              <a:prstDash val="solid"/>
              <a:round/>
            </a:ln>
          </c:spPr>
          <c:marker>
            <c:symbol val="none"/>
          </c:marker>
          <c:val>
            <c:numRef>
              <c:f>ANALISE!$X$16:$AL$16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01EC-42FC-A05A-11D2C5A4D5FB}"/>
            </c:ext>
          </c:extLst>
        </c:ser>
        <c:ser>
          <c:idx val="2"/>
          <c:order val="2"/>
          <c:tx>
            <c:v>MAX</c:v>
          </c:tx>
          <c:spPr>
            <a:ln w="28575" cap="rnd">
              <a:solidFill>
                <a:schemeClr val="accent3"/>
              </a:solidFill>
              <a:prstDash val="solid"/>
              <a:round/>
            </a:ln>
          </c:spPr>
          <c:marker>
            <c:symbol val="none"/>
          </c:marker>
          <c:val>
            <c:numRef>
              <c:f>ANALISE!$X$15:$AL$15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1EC-42FC-A05A-11D2C5A4D5FB}"/>
            </c:ext>
          </c:extLst>
        </c:ser>
        <c:ser>
          <c:idx val="3"/>
          <c:order val="3"/>
          <c:tx>
            <c:v>PR sug</c:v>
          </c:tx>
          <c:spPr>
            <a:ln w="28575" cap="rnd">
              <a:solidFill>
                <a:schemeClr val="accent2">
                  <a:lumMod val="60000"/>
                  <a:lumOff val="40000"/>
                </a:schemeClr>
              </a:solidFill>
              <a:prstDash val="dash"/>
              <a:round/>
            </a:ln>
          </c:spPr>
          <c:marker>
            <c:symbol val="none"/>
          </c:marker>
          <c:val>
            <c:numRef>
              <c:f>ANALISE!$X$17:$AL$17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1EC-42FC-A05A-11D2C5A4D5FB}"/>
            </c:ext>
          </c:extLst>
        </c:ser>
        <c:ser>
          <c:idx val="4"/>
          <c:order val="4"/>
          <c:tx>
            <c:v>MAX sug</c:v>
          </c:tx>
          <c:spPr>
            <a:ln w="28575" cap="rnd">
              <a:solidFill>
                <a:schemeClr val="accent3">
                  <a:lumMod val="40000"/>
                  <a:lumOff val="60000"/>
                </a:schemeClr>
              </a:solidFill>
              <a:prstDash val="dash"/>
              <a:round/>
            </a:ln>
          </c:spPr>
          <c:marker>
            <c:symbol val="none"/>
          </c:marker>
          <c:val>
            <c:numRef>
              <c:f>ANALISE!$X$18:$AL$18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01EC-42FC-A05A-11D2C5A4D5FB}"/>
            </c:ext>
          </c:extLst>
        </c:ser>
        <c:dLbls>
          <c:showLegendKey val="0"/>
          <c:showVal val="0"/>
          <c:showCatName val="0"/>
          <c:showSerName val="0"/>
          <c:showPercent val="0"/>
          <c:showBubbleSize val="0"/>
        </c:dLbls>
        <c:marker val="1"/>
        <c:smooth val="0"/>
        <c:axId val="1386106992"/>
        <c:axId val="160013328"/>
      </c:lineChart>
      <c:catAx>
        <c:axId val="1386106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0013328"/>
        <c:crosses val="autoZero"/>
        <c:auto val="1"/>
        <c:lblAlgn val="ctr"/>
        <c:lblOffset val="100"/>
        <c:noMultiLvlLbl val="0"/>
      </c:catAx>
      <c:valAx>
        <c:axId val="160013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86106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r>
              <a:rPr lang="en-US"/>
              <a:t>None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5E2D-4D35-AC7B-885FFD72D187}"/>
            </c:ext>
          </c:extLst>
        </c:ser>
        <c:ser>
          <c:idx val="1"/>
          <c:order val="1"/>
          <c:spPr>
            <a:ln w="28575" cap="rnd">
              <a:solidFill>
                <a:schemeClr val="accent2"/>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5E2D-4D35-AC7B-885FFD72D187}"/>
            </c:ext>
          </c:extLst>
        </c:ser>
        <c:ser>
          <c:idx val="2"/>
          <c:order val="2"/>
          <c:spPr>
            <a:ln w="28575" cap="rnd">
              <a:solidFill>
                <a:schemeClr val="accent3"/>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2-5E2D-4D35-AC7B-885FFD72D187}"/>
            </c:ext>
          </c:extLst>
        </c:ser>
        <c:ser>
          <c:idx val="3"/>
          <c:order val="3"/>
          <c:spPr>
            <a:ln w="28575" cap="rnd">
              <a:solidFill>
                <a:schemeClr val="accent4"/>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3-5E2D-4D35-AC7B-885FFD72D187}"/>
            </c:ext>
          </c:extLst>
        </c:ser>
        <c:ser>
          <c:idx val="4"/>
          <c:order val="4"/>
          <c:spPr>
            <a:ln w="28575" cap="rnd">
              <a:solidFill>
                <a:schemeClr val="accent5"/>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4-5E2D-4D35-AC7B-885FFD72D187}"/>
            </c:ext>
          </c:extLst>
        </c:ser>
        <c:ser>
          <c:idx val="5"/>
          <c:order val="5"/>
          <c:spPr>
            <a:ln w="28575" cap="rnd">
              <a:solidFill>
                <a:schemeClr val="accent6"/>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5-5E2D-4D35-AC7B-885FFD72D187}"/>
            </c:ext>
          </c:extLst>
        </c:ser>
        <c:ser>
          <c:idx val="6"/>
          <c:order val="6"/>
          <c:spPr>
            <a:ln w="28575" cap="rnd">
              <a:solidFill>
                <a:schemeClr val="accent1">
                  <a:lumMod val="60000"/>
                </a:schemeClr>
              </a:solidFill>
              <a:prstDash val="solid"/>
              <a:round/>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6-5E2D-4D35-AC7B-885FFD72D187}"/>
            </c:ext>
          </c:extLst>
        </c:ser>
        <c:dLbls>
          <c:showLegendKey val="0"/>
          <c:showVal val="0"/>
          <c:showCatName val="0"/>
          <c:showSerName val="0"/>
          <c:showPercent val="0"/>
          <c:showBubbleSize val="0"/>
        </c:dLbls>
        <c:smooth val="0"/>
        <c:axId val="118932672"/>
        <c:axId val="118947552"/>
      </c:lineChart>
      <c:catAx>
        <c:axId val="118932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47552"/>
        <c:crosses val="autoZero"/>
        <c:auto val="1"/>
        <c:lblAlgn val="ctr"/>
        <c:lblOffset val="100"/>
        <c:noMultiLvlLbl val="0"/>
      </c:catAx>
      <c:valAx>
        <c:axId val="118947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326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file:///P:\Mfotos\Padronizadas\716295(A).jpg" TargetMode="Externa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file:///P:\Mfotos\Padronizadas\718631(A).jpg" TargetMode="External"/></Relationships>
</file>

<file path=xl/drawings/drawing1.xml><?xml version="1.0" encoding="utf-8"?>
<xdr:wsDr xmlns:xdr="http://schemas.openxmlformats.org/drawingml/2006/spreadsheetDrawing" xmlns:a="http://schemas.openxmlformats.org/drawingml/2006/main">
  <xdr:twoCellAnchor>
    <xdr:from>
      <xdr:col>4</xdr:col>
      <xdr:colOff>10525</xdr:colOff>
      <xdr:row>11</xdr:row>
      <xdr:rowOff>26893</xdr:rowOff>
    </xdr:from>
    <xdr:to>
      <xdr:col>14</xdr:col>
      <xdr:colOff>10525</xdr:colOff>
      <xdr:row>29</xdr:row>
      <xdr:rowOff>140783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38</xdr:row>
      <xdr:rowOff>0</xdr:rowOff>
    </xdr:from>
    <xdr:to>
      <xdr:col>6</xdr:col>
      <xdr:colOff>104775</xdr:colOff>
      <xdr:row>59</xdr:row>
      <xdr:rowOff>28575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3</xdr:row>
          <xdr:rowOff>114300</xdr:rowOff>
        </xdr:from>
        <xdr:to>
          <xdr:col>5</xdr:col>
          <xdr:colOff>876300</xdr:colOff>
          <xdr:row>5</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Nao Repor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85725</xdr:rowOff>
        </xdr:from>
        <xdr:to>
          <xdr:col>7</xdr:col>
          <xdr:colOff>371475</xdr:colOff>
          <xdr:row>5</xdr:row>
          <xdr:rowOff>161925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Alterar nível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447675</xdr:colOff>
          <xdr:row>3</xdr:row>
          <xdr:rowOff>104775</xdr:rowOff>
        </xdr:from>
        <xdr:to>
          <xdr:col>10</xdr:col>
          <xdr:colOff>552450</xdr:colOff>
          <xdr:row>5</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Carregar Foto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3</xdr:row>
          <xdr:rowOff>95250</xdr:rowOff>
        </xdr:from>
        <xdr:to>
          <xdr:col>9</xdr:col>
          <xdr:colOff>285750</xdr:colOff>
          <xdr:row>5</xdr:row>
          <xdr:rowOff>161925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Proximo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3</xdr:row>
          <xdr:rowOff>114300</xdr:rowOff>
        </xdr:from>
        <xdr:to>
          <xdr:col>5</xdr:col>
          <xdr:colOff>28575</xdr:colOff>
          <xdr:row>5</xdr:row>
          <xdr:rowOff>152400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Repor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xdr:row>
          <xdr:rowOff>95250</xdr:rowOff>
        </xdr:from>
        <xdr:to>
          <xdr:col>12</xdr:col>
          <xdr:colOff>219075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MD03</a:t>
              </a:r>
            </a:p>
          </xdr:txBody>
        </xdr:sp>
        <xdr:clientData fPrintsWithSheet="0"/>
      </xdr:twoCellAnchor>
    </mc:Choice>
    <mc:Fallback/>
  </mc:AlternateContent>
  <xdr:twoCellAnchor>
    <xdr:from>
      <xdr:col>3</xdr:col>
      <xdr:colOff>0</xdr:colOff>
      <xdr:row>0</xdr:row>
      <xdr:rowOff>190499</xdr:rowOff>
    </xdr:from>
    <xdr:to>
      <xdr:col>3</xdr:col>
      <xdr:colOff>1829089</xdr:colOff>
      <xdr:row>7</xdr:row>
      <xdr:rowOff>126999</xdr:rowOff>
    </xdr:to>
    <xdr:pic>
      <xdr:nvPicPr>
        <xdr:cNvPr id="1059" name="Picture 1058">
          <a:extLst>
            <a:ext uri="{FF2B5EF4-FFF2-40B4-BE49-F238E27FC236}">
              <a16:creationId xmlns:a16="http://schemas.microsoft.com/office/drawing/2014/main" id="{3E4C66F0-25DB-2D77-6BCB-0C075F82BF81}"/>
            </a:ext>
          </a:extLst>
        </xdr:cNvPr>
        <xdr:cNvPicPr>
          <a:picLocks noChangeAspect="1"/>
        </xdr:cNvPicPr>
      </xdr:nvPicPr>
      <xdr:blipFill>
        <a:blip xmlns:r="http://schemas.openxmlformats.org/officeDocument/2006/relationships" r:link="rId3"/>
        <a:stretch>
          <a:fillRect/>
        </a:stretch>
      </xdr:blipFill>
      <xdr:spPr>
        <a:xfrm>
          <a:off x="4876800" y="190499"/>
          <a:ext cx="1829089" cy="1270000"/>
        </a:xfrm>
        <a:prstGeom prst="rect">
          <a:avLst/>
        </a:prstGeom>
      </xdr:spPr>
    </xdr:pic>
    <xdr:clientData/>
  </xdr:twoCellAnchor>
  <xdr:twoCellAnchor>
    <xdr:from>
      <xdr:col>3</xdr:col>
      <xdr:colOff>0</xdr:colOff>
      <xdr:row>0</xdr:row>
      <xdr:rowOff>190499</xdr:rowOff>
    </xdr:from>
    <xdr:to>
      <xdr:col>3</xdr:col>
      <xdr:colOff>1349731</xdr:colOff>
      <xdr:row>7</xdr:row>
      <xdr:rowOff>126999</xdr:rowOff>
    </xdr:to>
    <xdr:pic>
      <xdr:nvPicPr>
        <xdr:cNvPr id="1063" name="Picture 1062">
          <a:extLst>
            <a:ext uri="{FF2B5EF4-FFF2-40B4-BE49-F238E27FC236}">
              <a16:creationId xmlns:a16="http://schemas.microsoft.com/office/drawing/2014/main" id="{DD499EC7-2BD5-0774-0D1A-3AD11CEB71DE}"/>
            </a:ext>
          </a:extLst>
        </xdr:cNvPr>
        <xdr:cNvPicPr>
          <a:picLocks noChangeAspect="1"/>
        </xdr:cNvPicPr>
      </xdr:nvPicPr>
      <xdr:blipFill>
        <a:blip xmlns:r="http://schemas.openxmlformats.org/officeDocument/2006/relationships" r:link="rId4"/>
        <a:stretch>
          <a:fillRect/>
        </a:stretch>
      </xdr:blipFill>
      <xdr:spPr>
        <a:xfrm>
          <a:off x="4876800" y="190499"/>
          <a:ext cx="1349731" cy="1270000"/>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D89D8-794B-4E30-900D-550240CD7ED7}" name="Table1" displayName="Table1" ref="A1:BJ179" totalsRowShown="0" headerRowDxfId="2" headerRowBorderDxfId="1" tableBorderDxfId="0">
  <autoFilter ref="A1:BJ179" xr:uid="{0ACD89D8-794B-4E30-900D-550240CD7ED7}">
    <filterColumn colId="23">
      <filters blank="1">
        <dateGroupItem year="2021" dateTimeGrouping="year"/>
        <dateGroupItem year="2020" dateTimeGrouping="year"/>
        <dateGroupItem year="2019" dateTimeGrouping="year"/>
        <dateGroupItem year="2018" dateTimeGrouping="year"/>
        <dateGroupItem year="2017" dateTimeGrouping="year"/>
        <dateGroupItem year="2015" dateTimeGrouping="year"/>
        <dateGroupItem year="2014" dateTimeGrouping="year"/>
        <dateGroupItem year="2013" dateTimeGrouping="year"/>
        <dateGroupItem year="2011" dateTimeGrouping="year"/>
        <dateGroupItem year="2010" dateTimeGrouping="year"/>
        <dateGroupItem year="2009" dateTimeGrouping="year"/>
      </filters>
    </filterColumn>
  </autoFilter>
  <tableColumns count="62">
    <tableColumn id="1" xr3:uid="{11139A13-026C-4367-9EAF-F2885868742C}" name="Material"/>
    <tableColumn id="2" xr3:uid="{3BC8DEEA-47CA-401E-B33D-0A60FDD299D0}" name="pre-analise"/>
    <tableColumn id="3" xr3:uid="{5E93E7D8-4C2D-4862-BA47-92B67A25F276}" name="Dias em OP"/>
    <tableColumn id="4" xr3:uid="{B030F3E1-7341-4B68-A08F-3805FFC26A86}" name="Txt.brv.material"/>
    <tableColumn id="5" xr3:uid="{B578C1CE-E773-4D7C-8AAD-EE5F529CCD01}" name="Tipo de MRP"/>
    <tableColumn id="6" xr3:uid="{FA7C743B-9720-4728-9C83-D4BCB2E6F840}" name="Ponto reabastec."/>
    <tableColumn id="7" xr3:uid="{D43AE26F-DD87-4866-A049-45288A3F0433}" name="Estoque máximo"/>
    <tableColumn id="8" xr3:uid="{D31C804F-0EE9-4D79-8723-0BE3F8F093C4}" name="PR sug"/>
    <tableColumn id="9" xr3:uid="{797604F1-8FB3-4B48-B69D-06C2299DC463}" name="MAX sug"/>
    <tableColumn id="10" xr3:uid="{401903A7-1A04-498A-97AB-F2852F9E4C47}" name="impacto $"/>
    <tableColumn id="11" xr3:uid="{3F92BD05-AF4C-4D77-A287-AF1941EDB597}" name="Prz.entrg.prev."/>
    <tableColumn id="12" xr3:uid="{09DF3308-7D8D-40FB-905B-574F8E07BDBA}" name="Sld. Virtual"/>
    <tableColumn id="13" xr3:uid="{45A0F52C-F751-4F8C-A444-53745652FD1C}" name="Image"/>
    <tableColumn id="14" xr3:uid="{AC91BAAA-0F48-4665-9B2D-9DB4DC4B3A68}" name="Planejador MRP"/>
    <tableColumn id="15" xr3:uid="{1BC870F7-488F-4DD7-910E-8281BA029A4A}" name="Grupo de mercadorias"/>
    <tableColumn id="16" xr3:uid="{2E276336-CACD-4FC2-8591-00428924E48F}" name="Grupo MRP"/>
    <tableColumn id="17" xr3:uid="{7F0985E4-5821-4A5B-946A-E2C51BA09F95}" name="Criticidade"/>
    <tableColumn id="18" xr3:uid="{0A540A89-5784-4AA6-B858-70BD7A584AEA}" name="Classificação"/>
    <tableColumn id="19" xr3:uid="{71AAE9E7-4CFF-4E52-8900-5890B305E8A5}" name="Nº peça fabricante"/>
    <tableColumn id="20" xr3:uid="{807BE3E4-D69B-48E1-A2B9-D153533E8ADA}" name="outliers"/>
    <tableColumn id="21" xr3:uid="{DE82AC3A-6941-4C28-A8F7-562A60C5B260}" name="Valor Total"/>
    <tableColumn id="22" xr3:uid="{DBC393E6-41FA-4770-92F2-47E1282FB9CF}" name="Qtd.ordem planejada"/>
    <tableColumn id="23" xr3:uid="{AF8F57F2-7F64-484E-BB27-384E27775BBC}" name="Preço Unit."/>
    <tableColumn id="24" xr3:uid="{47BEFE67-5D99-49A0-AE75-61013D592AAB}" name="Dt. Ult. Pedido"/>
    <tableColumn id="25" xr3:uid="{0343A184-20CC-4D75-B880-98DDF6B02485}" name="tendencia"/>
    <tableColumn id="26" xr3:uid="{DB553AD8-3CD1-4E21-A75A-05405330D94B}" name="1 LTD"/>
    <tableColumn id="27" xr3:uid="{247517EA-72ED-4F8C-8E42-5737569AADF7}" name="2 LTD"/>
    <tableColumn id="28" xr3:uid="{8EE2AFAB-0779-40BA-88F4-41AEBC0B4813}" name="3 LTD"/>
    <tableColumn id="29" xr3:uid="{D0ED76EB-4A34-4028-B70C-A23DAF675BF6}" name="4 LTD"/>
    <tableColumn id="30" xr3:uid="{9E38CBCA-1B52-47DA-B3C8-32C825BD9F97}" name="5 LTD"/>
    <tableColumn id="31" xr3:uid="{E8857EB1-F3D4-4565-867F-D2EFA74A2ABF}" name="6 LTD"/>
    <tableColumn id="32" xr3:uid="{21A71145-33BC-46A1-AC68-D96ADCEFB6F4}" name="7 LTD"/>
    <tableColumn id="33" xr3:uid="{D70ECD72-7161-4585-9A38-4125283E9D46}" name="8 LTD"/>
    <tableColumn id="34" xr3:uid="{0A6EFFCF-EB5C-4795-9A68-2FB5285D0826}" name="9 LTD"/>
    <tableColumn id="35" xr3:uid="{65580FC8-E232-4017-8841-2DE8B8765F18}" name="10 LTD"/>
    <tableColumn id="36" xr3:uid="{50677B0F-E9B7-41F9-9695-3AFAF7F9AEB7}" name="11 LTD"/>
    <tableColumn id="37" xr3:uid="{48BA8E38-3265-48BB-A4DF-D339D2E672F8}" name="12 LTD"/>
    <tableColumn id="38" xr3:uid="{18B12B83-CCBD-4C1F-ABF6-E62A175FEF57}" name="13 LTD"/>
    <tableColumn id="39" xr3:uid="{46C8E625-6394-4E85-BEDB-51790D9B288D}" name="14 LTD"/>
    <tableColumn id="40" xr3:uid="{86CDAE8D-56BD-4909-841E-217F6B579F78}" name="15 LTD"/>
    <tableColumn id="41" xr3:uid="{DD3895C7-F528-4EE4-A4AC-E067DF0987F0}" name="reservas_por_ceco"/>
    <tableColumn id="42" xr3:uid="{5C7C56AD-CB4B-4C77-AFF6-7255A7A4FA91}" name="Qtd. RTP1"/>
    <tableColumn id="43" xr3:uid="{DF638D98-544E-4A4B-986D-6944AF213840}" name="Qtd. RTP3"/>
    <tableColumn id="44" xr3:uid="{6B27BD46-0231-4392-BA42-5C7DECFDF855}" name="Qtd. RTP6"/>
    <tableColumn id="45" xr3:uid="{21C166CA-AEA4-4C3C-B0D4-A1B08647B0FF}" name="Qtd. LMR"/>
    <tableColumn id="46" xr3:uid="{10EBFE92-4862-4EEF-9E85-E56ADB449F1E}" name="Volume da OP"/>
    <tableColumn id="47" xr3:uid="{22447B71-1A8B-4FB3-96CE-8F710B7C7B61}" name="Setor de atividade"/>
    <tableColumn id="48" xr3:uid="{3A3D06FD-694B-4159-85FA-AEDCB05CF2EA}" name="TMD"/>
    <tableColumn id="49" xr3:uid="{F6E0D1DA-62FD-4DD5-B895-24FB14223134}" name="CV"/>
    <tableColumn id="50" xr3:uid="{0F325E3B-FCC9-4523-AACB-7255A07855DA}" name="Dem. Pro."/>
    <tableColumn id="51" xr3:uid="{9D796031-4650-4FDC-B093-CE36532D83FF}" name="Fornecedor"/>
    <tableColumn id="52" xr3:uid="{C277CA13-E25B-4ED8-B307-6CAA42E62A1E}" name="Nome"/>
    <tableColumn id="53" xr3:uid="{C65D9179-76A9-48AB-A236-D1076A9F4025}" name="Qtd. Pedido"/>
    <tableColumn id="54" xr3:uid="{F732B524-3D2B-4A77-90B1-97A8F2323420}" name="Qtd. Requisição"/>
    <tableColumn id="55" xr3:uid="{2355C22E-48EC-4B2F-AF64-3F5BB5AA1B99}" name="Texto - pt"/>
    <tableColumn id="56" xr3:uid="{5F6C1BDF-AA8A-489A-97AE-6AE8D229D5E9}" name="Texto - es"/>
    <tableColumn id="57" xr3:uid="{0542D3A4-B534-4615-86F6-E43F5C26FCF2}" name="Texto OBS - pt"/>
    <tableColumn id="58" xr3:uid="{AF937451-7172-4CF2-B6B9-E50DAF076D0B}" name="Texto OBS - es"/>
    <tableColumn id="59" xr3:uid="{2341964B-22F1-4DF8-B0EE-6BC38616B935}" name="Texto DB - pt"/>
    <tableColumn id="60" xr3:uid="{0786793F-BD12-41F2-8DE4-E4E4ADAEB53B}" name="Texto DB - es"/>
    <tableColumn id="61" xr3:uid="{3E23ABFB-B5DD-455A-ABBB-C1B7567BCC8B}" name="Texto REF LMR"/>
    <tableColumn id="62" xr3:uid="{640987EB-4AC0-4832-9C45-C14D17351696}" name="analise"/>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177"/>
  <sheetViews>
    <sheetView tabSelected="1" topLeftCell="AM1" zoomScale="83" zoomScaleNormal="83" workbookViewId="0">
      <selection activeCell="AW38" sqref="AW38"/>
    </sheetView>
  </sheetViews>
  <sheetFormatPr defaultRowHeight="15" x14ac:dyDescent="0.25"/>
  <cols>
    <col min="1" max="1" width="10.42578125" customWidth="1"/>
    <col min="2" max="2" width="18.42578125" customWidth="1"/>
    <col min="3" max="3" width="13.42578125" customWidth="1"/>
    <col min="4" max="4" width="51.7109375" customWidth="1"/>
    <col min="5" max="5" width="14.140625" customWidth="1"/>
    <col min="6" max="6" width="15.7109375" customWidth="1"/>
    <col min="7" max="7" width="18.140625" customWidth="1"/>
    <col min="9" max="9" width="10.5703125" customWidth="1"/>
    <col min="10" max="10" width="11.85546875" customWidth="1"/>
    <col min="11" max="11" width="16.28515625" customWidth="1"/>
    <col min="12" max="12" width="12.85546875" customWidth="1"/>
    <col min="14" max="14" width="17.140625" customWidth="1"/>
    <col min="15" max="15" width="23" customWidth="1"/>
    <col min="16" max="17" width="13.140625" customWidth="1"/>
    <col min="18" max="18" width="15.140625" customWidth="1"/>
    <col min="19" max="19" width="38.42578125" customWidth="1"/>
    <col min="20" max="20" width="10.140625" customWidth="1"/>
    <col min="21" max="21" width="12.5703125" customWidth="1"/>
    <col min="22" max="22" width="22" customWidth="1"/>
    <col min="23" max="23" width="13" customWidth="1"/>
    <col min="24" max="24" width="22.5703125" customWidth="1"/>
    <col min="25" max="25" width="12.140625" customWidth="1"/>
    <col min="41" max="41" width="19.85546875" customWidth="1"/>
    <col min="42" max="44" width="11.85546875" customWidth="1"/>
    <col min="45" max="45" width="11.28515625" customWidth="1"/>
    <col min="46" max="46" width="15.5703125" customWidth="1"/>
    <col min="47" max="47" width="19.42578125" customWidth="1"/>
    <col min="50" max="50" width="12" customWidth="1"/>
    <col min="51" max="51" width="13.42578125" customWidth="1"/>
    <col min="53" max="53" width="13.7109375" customWidth="1"/>
    <col min="54" max="54" width="17.42578125" customWidth="1"/>
    <col min="55" max="55" width="11.5703125" customWidth="1"/>
    <col min="56" max="56" width="11.85546875" customWidth="1"/>
    <col min="57" max="57" width="15.7109375" customWidth="1"/>
    <col min="58" max="58" width="16" customWidth="1"/>
    <col min="59" max="59" width="14.5703125" customWidth="1"/>
    <col min="60" max="60" width="14.85546875" customWidth="1"/>
    <col min="61" max="61" width="16.28515625" customWidth="1"/>
    <col min="62" max="62" width="9.5703125" customWidth="1"/>
  </cols>
  <sheetData>
    <row r="1" spans="1:62" x14ac:dyDescent="0.25">
      <c r="A1" s="29" t="s">
        <v>0</v>
      </c>
      <c r="B1" s="29" t="s">
        <v>1</v>
      </c>
      <c r="C1" s="29" t="s">
        <v>2</v>
      </c>
      <c r="D1" s="29" t="s">
        <v>3</v>
      </c>
      <c r="E1" s="29" t="s">
        <v>4</v>
      </c>
      <c r="F1" s="29" t="s">
        <v>5</v>
      </c>
      <c r="G1" s="29" t="s">
        <v>6</v>
      </c>
      <c r="H1" s="29" t="s">
        <v>7</v>
      </c>
      <c r="I1" s="29" t="s">
        <v>8</v>
      </c>
      <c r="J1" s="29" t="s">
        <v>9</v>
      </c>
      <c r="K1" s="29" t="s">
        <v>10</v>
      </c>
      <c r="L1" s="29" t="s">
        <v>11</v>
      </c>
      <c r="M1" s="29" t="s">
        <v>12</v>
      </c>
      <c r="N1" s="29" t="s">
        <v>13</v>
      </c>
      <c r="O1" s="29" t="s">
        <v>14</v>
      </c>
      <c r="P1" s="29" t="s">
        <v>15</v>
      </c>
      <c r="Q1" s="29" t="s">
        <v>16</v>
      </c>
      <c r="R1" s="29" t="s">
        <v>17</v>
      </c>
      <c r="S1" s="29" t="s">
        <v>18</v>
      </c>
      <c r="T1" s="29" t="s">
        <v>19</v>
      </c>
      <c r="U1" s="29" t="s">
        <v>20</v>
      </c>
      <c r="V1" s="29" t="s">
        <v>21</v>
      </c>
      <c r="W1" s="29" t="s">
        <v>22</v>
      </c>
      <c r="X1" s="29" t="s">
        <v>23</v>
      </c>
      <c r="Y1" s="29" t="s">
        <v>24</v>
      </c>
      <c r="Z1" s="29" t="s">
        <v>25</v>
      </c>
      <c r="AA1" s="29" t="s">
        <v>26</v>
      </c>
      <c r="AB1" s="29" t="s">
        <v>27</v>
      </c>
      <c r="AC1" s="29" t="s">
        <v>28</v>
      </c>
      <c r="AD1" s="29" t="s">
        <v>29</v>
      </c>
      <c r="AE1" s="29" t="s">
        <v>30</v>
      </c>
      <c r="AF1" s="29" t="s">
        <v>31</v>
      </c>
      <c r="AG1" s="29" t="s">
        <v>32</v>
      </c>
      <c r="AH1" s="29" t="s">
        <v>33</v>
      </c>
      <c r="AI1" s="29" t="s">
        <v>34</v>
      </c>
      <c r="AJ1" s="29" t="s">
        <v>35</v>
      </c>
      <c r="AK1" s="29" t="s">
        <v>36</v>
      </c>
      <c r="AL1" s="29" t="s">
        <v>37</v>
      </c>
      <c r="AM1" s="29" t="s">
        <v>38</v>
      </c>
      <c r="AN1" s="29" t="s">
        <v>39</v>
      </c>
      <c r="AO1" s="29" t="s">
        <v>40</v>
      </c>
      <c r="AP1" s="29" t="s">
        <v>41</v>
      </c>
      <c r="AQ1" s="29" t="s">
        <v>42</v>
      </c>
      <c r="AR1" s="29" t="s">
        <v>43</v>
      </c>
      <c r="AS1" s="29" t="s">
        <v>44</v>
      </c>
      <c r="AT1" s="29" t="s">
        <v>45</v>
      </c>
      <c r="AU1" s="29" t="s">
        <v>46</v>
      </c>
      <c r="AV1" s="29" t="s">
        <v>47</v>
      </c>
      <c r="AW1" s="29" t="s">
        <v>48</v>
      </c>
      <c r="AX1" s="29" t="s">
        <v>49</v>
      </c>
      <c r="AY1" s="29" t="s">
        <v>50</v>
      </c>
      <c r="AZ1" s="29" t="s">
        <v>51</v>
      </c>
      <c r="BA1" s="29" t="s">
        <v>52</v>
      </c>
      <c r="BB1" s="29" t="s">
        <v>53</v>
      </c>
      <c r="BC1" s="29" t="s">
        <v>54</v>
      </c>
      <c r="BD1" s="29" t="s">
        <v>55</v>
      </c>
      <c r="BE1" s="29" t="s">
        <v>56</v>
      </c>
      <c r="BF1" s="29" t="s">
        <v>57</v>
      </c>
      <c r="BG1" s="29" t="s">
        <v>58</v>
      </c>
      <c r="BH1" s="29" t="s">
        <v>59</v>
      </c>
      <c r="BI1" s="29" t="s">
        <v>60</v>
      </c>
      <c r="BJ1" s="29" t="s">
        <v>61</v>
      </c>
    </row>
    <row r="2" spans="1:62" s="25" customFormat="1" hidden="1" x14ac:dyDescent="0.25">
      <c r="A2" s="25" t="s">
        <v>62</v>
      </c>
      <c r="B2" s="25" t="s">
        <v>63</v>
      </c>
      <c r="C2" s="25">
        <v>166</v>
      </c>
      <c r="D2" s="25" t="s">
        <v>64</v>
      </c>
      <c r="E2" s="25" t="s">
        <v>65</v>
      </c>
      <c r="F2" s="25">
        <v>627</v>
      </c>
      <c r="G2" s="25">
        <v>1065</v>
      </c>
      <c r="H2" s="25">
        <v>486</v>
      </c>
      <c r="I2" s="25">
        <v>1783</v>
      </c>
      <c r="J2" s="25">
        <v>4892</v>
      </c>
      <c r="K2" s="25">
        <v>120</v>
      </c>
      <c r="L2" s="25">
        <v>262</v>
      </c>
      <c r="M2" s="25" t="s">
        <v>66</v>
      </c>
      <c r="N2" s="25" t="s">
        <v>67</v>
      </c>
      <c r="O2" s="25" t="s">
        <v>68</v>
      </c>
      <c r="P2" s="25" t="s">
        <v>69</v>
      </c>
      <c r="R2" s="25" t="s">
        <v>70</v>
      </c>
      <c r="S2" s="25" t="s">
        <v>71</v>
      </c>
      <c r="T2" s="25" t="s">
        <v>72</v>
      </c>
      <c r="U2" s="25">
        <v>11392.96</v>
      </c>
      <c r="V2" s="25">
        <v>1000</v>
      </c>
      <c r="W2" s="25">
        <v>11.39</v>
      </c>
      <c r="X2" s="26">
        <v>44769</v>
      </c>
      <c r="Y2" s="25" t="s">
        <v>73</v>
      </c>
      <c r="Z2" s="25">
        <v>363</v>
      </c>
      <c r="AA2" s="25">
        <v>366</v>
      </c>
      <c r="AB2" s="25">
        <v>375</v>
      </c>
      <c r="AC2" s="25">
        <v>294</v>
      </c>
      <c r="AD2" s="25">
        <v>375</v>
      </c>
      <c r="AE2" s="25">
        <v>426</v>
      </c>
      <c r="AF2" s="25">
        <v>486</v>
      </c>
      <c r="AG2" s="25">
        <v>937</v>
      </c>
      <c r="AH2" s="25">
        <v>267</v>
      </c>
      <c r="AI2" s="25">
        <v>159</v>
      </c>
      <c r="AJ2" s="25">
        <v>324</v>
      </c>
      <c r="AK2" s="25">
        <v>612</v>
      </c>
      <c r="AL2" s="25">
        <v>48</v>
      </c>
      <c r="AM2" s="25">
        <v>0</v>
      </c>
      <c r="AO2" s="25" t="s">
        <v>74</v>
      </c>
      <c r="AP2" s="25">
        <v>0</v>
      </c>
      <c r="AQ2" s="25">
        <v>928</v>
      </c>
      <c r="AR2" s="25">
        <v>0</v>
      </c>
      <c r="AS2" s="25">
        <v>0</v>
      </c>
      <c r="AT2" s="25">
        <v>14871500</v>
      </c>
      <c r="AU2" s="25" t="s">
        <v>75</v>
      </c>
      <c r="AV2" s="25">
        <v>1</v>
      </c>
      <c r="AW2" s="25">
        <v>0.45847688522830837</v>
      </c>
      <c r="AX2" s="25" t="b">
        <v>1</v>
      </c>
      <c r="AY2" s="25" t="s">
        <v>76</v>
      </c>
      <c r="AZ2" s="25" t="s">
        <v>77</v>
      </c>
      <c r="BA2" s="25">
        <v>0</v>
      </c>
      <c r="BB2" s="25">
        <v>0</v>
      </c>
      <c r="BC2" s="25" t="s">
        <v>78</v>
      </c>
      <c r="BD2" s="25" t="s">
        <v>79</v>
      </c>
      <c r="BE2" s="25" t="s">
        <v>80</v>
      </c>
      <c r="BF2" s="25" t="s">
        <v>81</v>
      </c>
      <c r="BJ2" s="25" t="s">
        <v>1253</v>
      </c>
    </row>
    <row r="3" spans="1:62" s="27" customFormat="1" hidden="1" x14ac:dyDescent="0.25">
      <c r="A3" s="27" t="s">
        <v>82</v>
      </c>
      <c r="B3" s="27" t="s">
        <v>83</v>
      </c>
      <c r="C3" s="27">
        <v>5</v>
      </c>
      <c r="D3" s="27" t="s">
        <v>84</v>
      </c>
      <c r="E3" s="27" t="s">
        <v>85</v>
      </c>
      <c r="F3" s="27">
        <v>11</v>
      </c>
      <c r="G3" s="27">
        <v>25</v>
      </c>
      <c r="H3" s="27">
        <v>200</v>
      </c>
      <c r="I3" s="27">
        <v>534</v>
      </c>
      <c r="J3" s="27">
        <v>1732</v>
      </c>
      <c r="K3" s="27">
        <v>120</v>
      </c>
      <c r="L3" s="27">
        <v>25</v>
      </c>
      <c r="M3" s="27" t="s">
        <v>86</v>
      </c>
      <c r="N3" s="27" t="s">
        <v>87</v>
      </c>
      <c r="O3" s="27" t="s">
        <v>88</v>
      </c>
      <c r="P3" s="27" t="s">
        <v>69</v>
      </c>
      <c r="Q3" s="27">
        <v>3</v>
      </c>
      <c r="R3" s="27" t="s">
        <v>89</v>
      </c>
      <c r="S3" s="27" t="s">
        <v>90</v>
      </c>
      <c r="T3" s="27" t="s">
        <v>91</v>
      </c>
      <c r="U3" s="27">
        <v>3900.1</v>
      </c>
      <c r="V3" s="27">
        <v>360</v>
      </c>
      <c r="W3" s="27">
        <v>10.83</v>
      </c>
      <c r="X3" s="28">
        <v>45474</v>
      </c>
      <c r="Y3" s="27" t="s">
        <v>92</v>
      </c>
      <c r="Z3" s="27">
        <v>0</v>
      </c>
      <c r="AA3" s="27">
        <v>194</v>
      </c>
      <c r="AB3" s="27">
        <v>268</v>
      </c>
      <c r="AC3" s="27">
        <v>160</v>
      </c>
      <c r="AD3" s="27">
        <v>14</v>
      </c>
      <c r="AE3" s="27">
        <v>200</v>
      </c>
      <c r="AF3" s="27">
        <v>6</v>
      </c>
      <c r="AG3" s="27">
        <v>30</v>
      </c>
      <c r="AH3" s="27">
        <v>130</v>
      </c>
      <c r="AI3" s="27">
        <v>4</v>
      </c>
      <c r="AJ3" s="27">
        <v>54</v>
      </c>
      <c r="AK3" s="27">
        <v>48</v>
      </c>
      <c r="AL3" s="27">
        <v>0</v>
      </c>
      <c r="AM3" s="27">
        <v>15</v>
      </c>
      <c r="AO3" s="27" t="s">
        <v>93</v>
      </c>
      <c r="AP3" s="27">
        <v>0</v>
      </c>
      <c r="AQ3" s="27">
        <v>0</v>
      </c>
      <c r="AR3" s="27">
        <v>0</v>
      </c>
      <c r="AS3" s="27">
        <v>70</v>
      </c>
      <c r="AT3" s="27">
        <v>249480</v>
      </c>
      <c r="AU3" s="27" t="s">
        <v>75</v>
      </c>
      <c r="AV3" s="27">
        <v>1.0909090909090911</v>
      </c>
      <c r="AW3" s="27">
        <v>0.96880806158850774</v>
      </c>
      <c r="AX3" s="27" t="b">
        <v>1</v>
      </c>
      <c r="AY3" s="27" t="s">
        <v>94</v>
      </c>
      <c r="AZ3" s="27" t="s">
        <v>95</v>
      </c>
      <c r="BA3" s="27">
        <v>28</v>
      </c>
      <c r="BB3" s="27">
        <v>0</v>
      </c>
      <c r="BC3" s="27" t="s">
        <v>96</v>
      </c>
      <c r="BD3" s="27" t="s">
        <v>97</v>
      </c>
      <c r="BE3" s="27" t="s">
        <v>98</v>
      </c>
      <c r="BF3" s="27" t="s">
        <v>99</v>
      </c>
      <c r="BI3" s="27" t="s">
        <v>100</v>
      </c>
      <c r="BJ3" s="27" t="s">
        <v>1252</v>
      </c>
    </row>
    <row r="4" spans="1:62" s="27" customFormat="1" x14ac:dyDescent="0.25">
      <c r="X4" s="28"/>
    </row>
    <row r="5" spans="1:62" s="25" customFormat="1" hidden="1" x14ac:dyDescent="0.25">
      <c r="A5" s="25" t="s">
        <v>106</v>
      </c>
      <c r="B5" s="25" t="s">
        <v>107</v>
      </c>
      <c r="C5" s="25">
        <v>166</v>
      </c>
      <c r="D5" s="25" t="s">
        <v>108</v>
      </c>
      <c r="E5" s="25" t="s">
        <v>65</v>
      </c>
      <c r="F5" s="25">
        <v>300</v>
      </c>
      <c r="G5" s="25">
        <v>612</v>
      </c>
      <c r="H5" s="25">
        <v>623</v>
      </c>
      <c r="I5" s="25">
        <v>1662</v>
      </c>
      <c r="J5" s="25">
        <v>3402</v>
      </c>
      <c r="K5" s="25">
        <v>270</v>
      </c>
      <c r="L5" s="25">
        <v>474</v>
      </c>
      <c r="M5" s="25" t="s">
        <v>109</v>
      </c>
      <c r="N5" s="25" t="s">
        <v>67</v>
      </c>
      <c r="O5" s="25" t="s">
        <v>68</v>
      </c>
      <c r="P5" s="25" t="s">
        <v>69</v>
      </c>
      <c r="R5" s="25" t="s">
        <v>89</v>
      </c>
      <c r="S5" s="25" t="s">
        <v>71</v>
      </c>
      <c r="T5" s="25" t="s">
        <v>110</v>
      </c>
      <c r="U5" s="25">
        <v>1871.06</v>
      </c>
      <c r="V5" s="25">
        <v>200</v>
      </c>
      <c r="W5" s="25">
        <v>9.36</v>
      </c>
      <c r="X5" s="26">
        <v>44748</v>
      </c>
      <c r="Y5" s="25" t="s">
        <v>92</v>
      </c>
      <c r="Z5" s="25">
        <v>378</v>
      </c>
      <c r="AA5" s="25">
        <v>1776</v>
      </c>
      <c r="AB5" s="25">
        <v>339</v>
      </c>
      <c r="AC5" s="25">
        <v>623</v>
      </c>
      <c r="AD5" s="25">
        <v>639</v>
      </c>
      <c r="AE5" s="25">
        <v>132</v>
      </c>
      <c r="AO5" s="25" t="s">
        <v>111</v>
      </c>
      <c r="AP5" s="25">
        <v>0</v>
      </c>
      <c r="AQ5" s="25">
        <v>886</v>
      </c>
      <c r="AR5" s="25">
        <v>0</v>
      </c>
      <c r="AS5" s="25">
        <v>0</v>
      </c>
      <c r="AT5" s="25">
        <v>1845250</v>
      </c>
      <c r="AU5" s="25" t="s">
        <v>75</v>
      </c>
      <c r="AV5" s="25">
        <v>1</v>
      </c>
      <c r="AW5" s="25">
        <v>0.82351267094067826</v>
      </c>
      <c r="AX5" s="25" t="b">
        <v>1</v>
      </c>
      <c r="AY5" s="25" t="s">
        <v>112</v>
      </c>
      <c r="AZ5" s="25" t="s">
        <v>113</v>
      </c>
      <c r="BA5" s="25">
        <v>0</v>
      </c>
      <c r="BB5" s="25">
        <v>0</v>
      </c>
      <c r="BC5" s="25" t="s">
        <v>114</v>
      </c>
      <c r="BD5" s="25" t="s">
        <v>115</v>
      </c>
      <c r="BE5" s="25" t="s">
        <v>116</v>
      </c>
      <c r="BF5" s="25" t="s">
        <v>117</v>
      </c>
      <c r="BJ5" s="25" t="s">
        <v>1253</v>
      </c>
    </row>
    <row r="6" spans="1:62" s="27" customFormat="1" x14ac:dyDescent="0.25">
      <c r="X6" s="28"/>
    </row>
    <row r="7" spans="1:62" s="27" customFormat="1" x14ac:dyDescent="0.25">
      <c r="X7" s="28"/>
    </row>
    <row r="8" spans="1:62" s="25" customFormat="1" x14ac:dyDescent="0.25">
      <c r="X8" s="26"/>
    </row>
    <row r="9" spans="1:62" s="25" customFormat="1" x14ac:dyDescent="0.25"/>
    <row r="10" spans="1:62" s="27" customFormat="1" hidden="1" x14ac:dyDescent="0.25">
      <c r="A10" s="27" t="s">
        <v>129</v>
      </c>
      <c r="B10" s="27" t="s">
        <v>130</v>
      </c>
      <c r="C10" s="27">
        <v>14</v>
      </c>
      <c r="D10" s="27" t="s">
        <v>131</v>
      </c>
      <c r="E10" s="27" t="s">
        <v>65</v>
      </c>
      <c r="F10" s="27">
        <v>300</v>
      </c>
      <c r="G10" s="27">
        <v>590</v>
      </c>
      <c r="H10" s="27">
        <v>179</v>
      </c>
      <c r="I10" s="27">
        <v>453</v>
      </c>
      <c r="J10" s="27">
        <v>-71</v>
      </c>
      <c r="K10" s="27">
        <v>180</v>
      </c>
      <c r="L10" s="27">
        <v>256</v>
      </c>
      <c r="M10" s="27" t="s">
        <v>132</v>
      </c>
      <c r="N10" s="27" t="s">
        <v>67</v>
      </c>
      <c r="O10" s="27" t="s">
        <v>133</v>
      </c>
      <c r="P10" s="27" t="s">
        <v>69</v>
      </c>
      <c r="R10" s="27" t="s">
        <v>70</v>
      </c>
      <c r="S10" s="27" t="s">
        <v>134</v>
      </c>
      <c r="T10" s="27" t="s">
        <v>91</v>
      </c>
      <c r="U10" s="27">
        <v>3041.92</v>
      </c>
      <c r="V10" s="27">
        <v>340</v>
      </c>
      <c r="W10" s="27">
        <v>8.9499999999999993</v>
      </c>
      <c r="X10" s="28">
        <v>45314</v>
      </c>
      <c r="Y10" s="27" t="s">
        <v>92</v>
      </c>
      <c r="Z10" s="27">
        <v>157</v>
      </c>
      <c r="AA10" s="27">
        <v>62</v>
      </c>
      <c r="AB10" s="27">
        <v>198</v>
      </c>
      <c r="AC10" s="27">
        <v>150</v>
      </c>
      <c r="AD10" s="27">
        <v>179</v>
      </c>
      <c r="AE10" s="27">
        <v>74</v>
      </c>
      <c r="AF10" s="27">
        <v>175</v>
      </c>
      <c r="AG10" s="27">
        <v>30</v>
      </c>
      <c r="AH10" s="27">
        <v>129</v>
      </c>
      <c r="AO10" s="27" t="s">
        <v>135</v>
      </c>
      <c r="AP10" s="27">
        <v>0</v>
      </c>
      <c r="AQ10" s="27">
        <v>0</v>
      </c>
      <c r="AR10" s="27">
        <v>0</v>
      </c>
      <c r="AS10" s="27">
        <v>0</v>
      </c>
      <c r="AT10" s="27">
        <v>83844</v>
      </c>
      <c r="AU10" s="27" t="s">
        <v>75</v>
      </c>
      <c r="AV10" s="27">
        <v>1</v>
      </c>
      <c r="AW10" s="27">
        <v>0.43431763766395459</v>
      </c>
      <c r="AX10" s="27" t="b">
        <v>0</v>
      </c>
      <c r="AY10" s="27" t="s">
        <v>136</v>
      </c>
      <c r="AZ10" s="27" t="s">
        <v>137</v>
      </c>
      <c r="BA10" s="27">
        <v>0</v>
      </c>
      <c r="BB10" s="27">
        <v>0</v>
      </c>
      <c r="BC10" s="27" t="s">
        <v>138</v>
      </c>
      <c r="BD10" s="27" t="s">
        <v>139</v>
      </c>
      <c r="BE10" s="27" t="s">
        <v>140</v>
      </c>
      <c r="BF10" s="27" t="s">
        <v>141</v>
      </c>
      <c r="BJ10" s="27" t="s">
        <v>1252</v>
      </c>
    </row>
    <row r="11" spans="1:62" s="27" customFormat="1" hidden="1" x14ac:dyDescent="0.25">
      <c r="A11" s="27" t="s">
        <v>142</v>
      </c>
      <c r="B11" s="27" t="s">
        <v>143</v>
      </c>
      <c r="C11" s="27">
        <v>36</v>
      </c>
      <c r="D11" s="27" t="s">
        <v>144</v>
      </c>
      <c r="E11" s="27" t="s">
        <v>85</v>
      </c>
      <c r="F11" s="27">
        <v>2</v>
      </c>
      <c r="G11" s="27">
        <v>3</v>
      </c>
      <c r="H11" s="27">
        <v>1</v>
      </c>
      <c r="I11" s="27">
        <v>3</v>
      </c>
      <c r="J11" s="27">
        <v>44</v>
      </c>
      <c r="K11" s="27">
        <v>210</v>
      </c>
      <c r="L11" s="27">
        <v>1</v>
      </c>
      <c r="M11" s="27" t="s">
        <v>145</v>
      </c>
      <c r="N11" s="27" t="s">
        <v>102</v>
      </c>
      <c r="O11" s="27" t="s">
        <v>146</v>
      </c>
      <c r="P11" s="27" t="s">
        <v>69</v>
      </c>
      <c r="R11" s="27" t="s">
        <v>121</v>
      </c>
      <c r="S11" s="27" t="s">
        <v>147</v>
      </c>
      <c r="T11" s="27" t="s">
        <v>91</v>
      </c>
      <c r="U11" s="27">
        <v>176.4</v>
      </c>
      <c r="V11" s="27">
        <v>2</v>
      </c>
      <c r="W11" s="27">
        <v>88.2</v>
      </c>
      <c r="X11" s="28">
        <v>45293</v>
      </c>
      <c r="Y11" s="27" t="s">
        <v>123</v>
      </c>
      <c r="Z11" s="27">
        <v>2</v>
      </c>
      <c r="AA11" s="27">
        <v>2</v>
      </c>
      <c r="AB11" s="27">
        <v>0</v>
      </c>
      <c r="AC11" s="27">
        <v>0</v>
      </c>
      <c r="AD11" s="27">
        <v>2</v>
      </c>
      <c r="AE11" s="27">
        <v>0</v>
      </c>
      <c r="AF11" s="27">
        <v>0</v>
      </c>
      <c r="AG11" s="27">
        <v>0</v>
      </c>
      <c r="AO11" s="27" t="s">
        <v>148</v>
      </c>
      <c r="AP11" s="27">
        <v>0</v>
      </c>
      <c r="AQ11" s="27">
        <v>0</v>
      </c>
      <c r="AR11" s="27">
        <v>0</v>
      </c>
      <c r="AS11" s="27">
        <v>0</v>
      </c>
      <c r="AT11" s="27">
        <v>1000</v>
      </c>
      <c r="AU11" s="27" t="s">
        <v>75</v>
      </c>
      <c r="AV11" s="27">
        <v>2.666666666666667</v>
      </c>
      <c r="AW11" s="27">
        <v>1.290994448735806</v>
      </c>
      <c r="AX11" s="27" t="b">
        <v>0</v>
      </c>
      <c r="AY11" s="27" t="s">
        <v>149</v>
      </c>
      <c r="AZ11" s="27" t="s">
        <v>150</v>
      </c>
      <c r="BA11" s="27">
        <v>0</v>
      </c>
      <c r="BB11" s="27">
        <v>0</v>
      </c>
      <c r="BC11" s="27" t="s">
        <v>151</v>
      </c>
      <c r="BD11" s="27" t="s">
        <v>152</v>
      </c>
      <c r="BE11" s="27" t="s">
        <v>153</v>
      </c>
      <c r="BF11" s="27" t="s">
        <v>154</v>
      </c>
      <c r="BG11" s="27" t="s">
        <v>153</v>
      </c>
      <c r="BH11" s="27" t="s">
        <v>154</v>
      </c>
      <c r="BJ11" s="27" t="s">
        <v>1252</v>
      </c>
    </row>
    <row r="12" spans="1:62" s="25" customFormat="1" x14ac:dyDescent="0.25"/>
    <row r="13" spans="1:62" s="27" customFormat="1" hidden="1" x14ac:dyDescent="0.25">
      <c r="A13" s="27" t="s">
        <v>155</v>
      </c>
      <c r="B13" s="27" t="s">
        <v>156</v>
      </c>
      <c r="C13" s="27">
        <v>56</v>
      </c>
      <c r="D13" s="27" t="s">
        <v>157</v>
      </c>
      <c r="E13" s="27" t="s">
        <v>85</v>
      </c>
      <c r="F13" s="27">
        <v>5</v>
      </c>
      <c r="G13" s="27">
        <v>15</v>
      </c>
      <c r="H13" s="27">
        <v>7</v>
      </c>
      <c r="I13" s="27">
        <v>25</v>
      </c>
      <c r="J13" s="27">
        <v>19</v>
      </c>
      <c r="K13" s="27">
        <v>180</v>
      </c>
      <c r="L13" s="27">
        <v>-2</v>
      </c>
      <c r="M13" s="27" t="s">
        <v>158</v>
      </c>
      <c r="N13" s="27" t="s">
        <v>67</v>
      </c>
      <c r="O13" s="27" t="s">
        <v>159</v>
      </c>
      <c r="P13" s="27" t="s">
        <v>69</v>
      </c>
      <c r="R13" s="27" t="s">
        <v>121</v>
      </c>
      <c r="S13" s="27" t="s">
        <v>160</v>
      </c>
      <c r="T13" s="27" t="s">
        <v>91</v>
      </c>
      <c r="U13" s="27">
        <v>83.35</v>
      </c>
      <c r="V13" s="27">
        <v>17</v>
      </c>
      <c r="W13" s="27">
        <v>4.9000000000000004</v>
      </c>
      <c r="X13" s="28">
        <v>45204</v>
      </c>
      <c r="Y13" s="27" t="s">
        <v>161</v>
      </c>
      <c r="Z13" s="27">
        <v>0</v>
      </c>
      <c r="AA13" s="27">
        <v>0</v>
      </c>
      <c r="AB13" s="27">
        <v>10</v>
      </c>
      <c r="AC13" s="27">
        <v>7</v>
      </c>
      <c r="AD13" s="27">
        <v>0</v>
      </c>
      <c r="AE13" s="27">
        <v>0</v>
      </c>
      <c r="AF13" s="27">
        <v>6</v>
      </c>
      <c r="AG13" s="27">
        <v>1</v>
      </c>
      <c r="AH13" s="27">
        <v>0</v>
      </c>
      <c r="AO13" s="27" t="s">
        <v>162</v>
      </c>
      <c r="AP13" s="27">
        <v>0</v>
      </c>
      <c r="AQ13" s="27">
        <v>0</v>
      </c>
      <c r="AR13" s="27">
        <v>0</v>
      </c>
      <c r="AS13" s="27">
        <v>0</v>
      </c>
      <c r="AT13" s="27">
        <v>22758</v>
      </c>
      <c r="AU13" s="27" t="s">
        <v>75</v>
      </c>
      <c r="AV13" s="27">
        <v>2.25</v>
      </c>
      <c r="AW13" s="27">
        <v>1.3806701271484081</v>
      </c>
      <c r="AX13" s="27" t="b">
        <v>0</v>
      </c>
      <c r="AY13" s="27" t="s">
        <v>124</v>
      </c>
      <c r="AZ13" s="27" t="s">
        <v>125</v>
      </c>
      <c r="BA13" s="27">
        <v>0</v>
      </c>
      <c r="BB13" s="27">
        <v>0</v>
      </c>
      <c r="BC13" s="27" t="s">
        <v>163</v>
      </c>
      <c r="BD13" s="27" t="s">
        <v>164</v>
      </c>
      <c r="BE13" s="27" t="s">
        <v>165</v>
      </c>
      <c r="BF13" s="27" t="s">
        <v>166</v>
      </c>
      <c r="BJ13" s="27" t="s">
        <v>1252</v>
      </c>
    </row>
    <row r="15" spans="1:62" s="25" customFormat="1" x14ac:dyDescent="0.25">
      <c r="X15" s="26"/>
    </row>
    <row r="16" spans="1:62" s="27" customFormat="1" x14ac:dyDescent="0.25">
      <c r="X16" s="28"/>
    </row>
    <row r="17" spans="1:62" s="25" customFormat="1" hidden="1" x14ac:dyDescent="0.25">
      <c r="A17" s="25" t="s">
        <v>173</v>
      </c>
      <c r="B17" s="25" t="s">
        <v>174</v>
      </c>
      <c r="C17" s="25">
        <v>8</v>
      </c>
      <c r="D17" s="25" t="s">
        <v>175</v>
      </c>
      <c r="E17" s="25" t="s">
        <v>85</v>
      </c>
      <c r="F17" s="25">
        <v>120</v>
      </c>
      <c r="G17" s="25">
        <v>250</v>
      </c>
      <c r="J17" s="25">
        <v>0</v>
      </c>
      <c r="K17" s="25">
        <v>210</v>
      </c>
      <c r="L17" s="25">
        <v>115</v>
      </c>
      <c r="M17" s="25" t="s">
        <v>176</v>
      </c>
      <c r="N17" s="25" t="s">
        <v>67</v>
      </c>
      <c r="O17" s="25" t="s">
        <v>177</v>
      </c>
      <c r="P17" s="25" t="s">
        <v>178</v>
      </c>
      <c r="R17" s="25" t="s">
        <v>89</v>
      </c>
      <c r="S17" s="25" t="s">
        <v>71</v>
      </c>
      <c r="U17" s="25">
        <v>8012.9</v>
      </c>
      <c r="V17" s="25">
        <v>140</v>
      </c>
      <c r="W17" s="25">
        <v>57.24</v>
      </c>
      <c r="X17" s="26">
        <v>45531</v>
      </c>
      <c r="Z17" s="25">
        <v>130</v>
      </c>
      <c r="AA17" s="25">
        <v>95</v>
      </c>
      <c r="AB17" s="25">
        <v>88</v>
      </c>
      <c r="AC17" s="25">
        <v>72</v>
      </c>
      <c r="AD17" s="25">
        <v>86</v>
      </c>
      <c r="AE17" s="25">
        <v>555</v>
      </c>
      <c r="AF17" s="25">
        <v>0</v>
      </c>
      <c r="AG17" s="25">
        <v>569</v>
      </c>
      <c r="AO17" s="25" t="s">
        <v>179</v>
      </c>
      <c r="AP17" s="25">
        <v>0</v>
      </c>
      <c r="AQ17" s="25">
        <v>0</v>
      </c>
      <c r="AR17" s="25">
        <v>0</v>
      </c>
      <c r="AS17" s="25">
        <v>0</v>
      </c>
      <c r="AT17" s="25">
        <v>0</v>
      </c>
      <c r="AU17" s="25" t="s">
        <v>75</v>
      </c>
      <c r="AV17" s="25">
        <v>1.142857142857143</v>
      </c>
      <c r="AW17" s="25">
        <v>1.0640322277619141</v>
      </c>
      <c r="AX17" s="25" t="b">
        <v>0</v>
      </c>
      <c r="AY17" s="25" t="s">
        <v>136</v>
      </c>
      <c r="AZ17" s="25" t="s">
        <v>137</v>
      </c>
      <c r="BA17" s="25">
        <v>190</v>
      </c>
      <c r="BB17" s="25">
        <v>0</v>
      </c>
      <c r="BC17" s="25" t="s">
        <v>180</v>
      </c>
      <c r="BD17" s="25" t="s">
        <v>181</v>
      </c>
      <c r="BE17" s="25" t="s">
        <v>182</v>
      </c>
      <c r="BF17" s="25" t="s">
        <v>183</v>
      </c>
      <c r="BJ17" s="25" t="s">
        <v>1253</v>
      </c>
    </row>
    <row r="18" spans="1:62" s="25" customFormat="1" hidden="1" x14ac:dyDescent="0.25">
      <c r="A18" s="25" t="s">
        <v>184</v>
      </c>
      <c r="B18" s="25" t="s">
        <v>185</v>
      </c>
      <c r="C18" s="25">
        <v>29</v>
      </c>
      <c r="D18" s="25" t="s">
        <v>186</v>
      </c>
      <c r="E18" s="25" t="s">
        <v>85</v>
      </c>
      <c r="F18" s="25">
        <v>2000</v>
      </c>
      <c r="G18" s="25">
        <v>4000</v>
      </c>
      <c r="H18" s="25">
        <v>2470</v>
      </c>
      <c r="I18" s="25">
        <v>5920</v>
      </c>
      <c r="J18" s="25">
        <v>1348</v>
      </c>
      <c r="K18" s="25">
        <v>180</v>
      </c>
      <c r="L18" s="25">
        <v>1700</v>
      </c>
      <c r="M18" s="25" t="s">
        <v>187</v>
      </c>
      <c r="N18" s="25" t="s">
        <v>67</v>
      </c>
      <c r="O18" s="25" t="s">
        <v>188</v>
      </c>
      <c r="P18" s="25" t="s">
        <v>69</v>
      </c>
      <c r="R18" s="25" t="s">
        <v>70</v>
      </c>
      <c r="S18" s="25" t="s">
        <v>189</v>
      </c>
      <c r="T18" s="25" t="s">
        <v>91</v>
      </c>
      <c r="U18" s="25">
        <v>4081.18</v>
      </c>
      <c r="V18" s="25">
        <v>2200</v>
      </c>
      <c r="W18" s="25">
        <v>1.86</v>
      </c>
      <c r="X18" s="26">
        <v>45247</v>
      </c>
      <c r="Y18" s="25" t="s">
        <v>92</v>
      </c>
      <c r="Z18" s="25">
        <v>250</v>
      </c>
      <c r="AA18" s="25">
        <v>1970</v>
      </c>
      <c r="AB18" s="25">
        <v>1300</v>
      </c>
      <c r="AC18" s="25">
        <v>1400</v>
      </c>
      <c r="AD18" s="25">
        <v>2470</v>
      </c>
      <c r="AE18" s="25">
        <v>2960</v>
      </c>
      <c r="AF18" s="25">
        <v>1885</v>
      </c>
      <c r="AG18" s="25">
        <v>553</v>
      </c>
      <c r="AH18" s="25">
        <v>1782</v>
      </c>
      <c r="AO18" s="25" t="s">
        <v>190</v>
      </c>
      <c r="AP18" s="25">
        <v>100</v>
      </c>
      <c r="AQ18" s="25">
        <v>180</v>
      </c>
      <c r="AR18" s="25">
        <v>0</v>
      </c>
      <c r="AS18" s="25">
        <v>0</v>
      </c>
      <c r="AT18" s="25">
        <v>0</v>
      </c>
      <c r="AU18" s="25" t="s">
        <v>75</v>
      </c>
      <c r="AV18" s="25">
        <v>1</v>
      </c>
      <c r="AW18" s="25">
        <v>0.50027312900570142</v>
      </c>
      <c r="AX18" s="25" t="b">
        <v>0</v>
      </c>
      <c r="AY18" s="25" t="s">
        <v>124</v>
      </c>
      <c r="AZ18" s="25" t="s">
        <v>125</v>
      </c>
      <c r="BA18" s="25">
        <v>2000</v>
      </c>
      <c r="BB18" s="25">
        <v>0</v>
      </c>
      <c r="BC18" s="25" t="s">
        <v>191</v>
      </c>
      <c r="BD18" s="25" t="s">
        <v>192</v>
      </c>
      <c r="BE18" s="25" t="s">
        <v>193</v>
      </c>
      <c r="BF18" s="25" t="s">
        <v>194</v>
      </c>
      <c r="BJ18" s="25" t="s">
        <v>1253</v>
      </c>
    </row>
    <row r="19" spans="1:62" s="25" customFormat="1" x14ac:dyDescent="0.25"/>
    <row r="20" spans="1:62" s="27" customFormat="1" hidden="1" x14ac:dyDescent="0.25">
      <c r="A20" s="27" t="s">
        <v>196</v>
      </c>
      <c r="B20" s="27" t="s">
        <v>197</v>
      </c>
      <c r="C20" s="27">
        <v>36</v>
      </c>
      <c r="D20" s="27" t="s">
        <v>198</v>
      </c>
      <c r="E20" s="27" t="s">
        <v>85</v>
      </c>
      <c r="F20" s="27">
        <v>30</v>
      </c>
      <c r="G20" s="27">
        <v>60</v>
      </c>
      <c r="H20" s="27">
        <v>23</v>
      </c>
      <c r="I20" s="27">
        <v>57</v>
      </c>
      <c r="J20" s="27">
        <v>140</v>
      </c>
      <c r="K20" s="27">
        <v>180</v>
      </c>
      <c r="L20" s="27">
        <v>7</v>
      </c>
      <c r="M20" s="27" t="s">
        <v>199</v>
      </c>
      <c r="N20" s="27" t="s">
        <v>102</v>
      </c>
      <c r="O20" s="27" t="s">
        <v>200</v>
      </c>
      <c r="P20" s="27" t="s">
        <v>69</v>
      </c>
      <c r="R20" s="27" t="s">
        <v>70</v>
      </c>
      <c r="S20" s="27" t="s">
        <v>201</v>
      </c>
      <c r="T20" s="27" t="s">
        <v>91</v>
      </c>
      <c r="U20" s="27">
        <v>3865.64</v>
      </c>
      <c r="V20" s="27">
        <v>55</v>
      </c>
      <c r="W20" s="27">
        <v>70.28</v>
      </c>
      <c r="X20" s="28">
        <v>44915</v>
      </c>
      <c r="Y20" s="27" t="s">
        <v>92</v>
      </c>
      <c r="Z20" s="27">
        <v>31</v>
      </c>
      <c r="AA20" s="27">
        <v>10</v>
      </c>
      <c r="AB20" s="27">
        <v>10</v>
      </c>
      <c r="AC20" s="27">
        <v>9</v>
      </c>
      <c r="AD20" s="27">
        <v>21</v>
      </c>
      <c r="AE20" s="27">
        <v>20</v>
      </c>
      <c r="AF20" s="27">
        <v>18</v>
      </c>
      <c r="AG20" s="27">
        <v>23</v>
      </c>
      <c r="AH20" s="27">
        <v>5</v>
      </c>
      <c r="AO20" s="27" t="s">
        <v>202</v>
      </c>
      <c r="AP20" s="27">
        <v>0</v>
      </c>
      <c r="AQ20" s="27">
        <v>2</v>
      </c>
      <c r="AR20" s="27">
        <v>0</v>
      </c>
      <c r="AS20" s="27">
        <v>0</v>
      </c>
      <c r="AT20" s="27">
        <v>6187</v>
      </c>
      <c r="AU20" s="27" t="s">
        <v>75</v>
      </c>
      <c r="AV20" s="27">
        <v>1</v>
      </c>
      <c r="AW20" s="27">
        <v>0.48294528841629519</v>
      </c>
      <c r="AX20" s="27" t="b">
        <v>0</v>
      </c>
      <c r="AY20" s="27" t="s">
        <v>203</v>
      </c>
      <c r="AZ20" s="27" t="s">
        <v>204</v>
      </c>
      <c r="BA20" s="27">
        <v>0</v>
      </c>
      <c r="BB20" s="27">
        <v>0</v>
      </c>
      <c r="BC20" s="27" t="s">
        <v>205</v>
      </c>
      <c r="BD20" s="27" t="s">
        <v>206</v>
      </c>
      <c r="BE20" s="27" t="s">
        <v>207</v>
      </c>
      <c r="BF20" s="27" t="s">
        <v>207</v>
      </c>
      <c r="BJ20" s="27" t="s">
        <v>1252</v>
      </c>
    </row>
    <row r="21" spans="1:62" s="27" customFormat="1" hidden="1" x14ac:dyDescent="0.25">
      <c r="A21" s="27" t="s">
        <v>208</v>
      </c>
      <c r="B21" s="27" t="s">
        <v>209</v>
      </c>
      <c r="C21" s="27">
        <v>1</v>
      </c>
      <c r="D21" s="27" t="s">
        <v>210</v>
      </c>
      <c r="E21" s="27" t="s">
        <v>85</v>
      </c>
      <c r="F21" s="27">
        <v>10</v>
      </c>
      <c r="G21" s="27">
        <v>20</v>
      </c>
      <c r="H21" s="27">
        <v>5</v>
      </c>
      <c r="I21" s="27">
        <v>34</v>
      </c>
      <c r="J21" s="27">
        <v>133</v>
      </c>
      <c r="K21" s="27">
        <v>210</v>
      </c>
      <c r="L21" s="27">
        <v>6</v>
      </c>
      <c r="M21" s="27" t="s">
        <v>211</v>
      </c>
      <c r="N21" s="27" t="s">
        <v>102</v>
      </c>
      <c r="O21" s="27" t="s">
        <v>212</v>
      </c>
      <c r="P21" s="27" t="s">
        <v>69</v>
      </c>
      <c r="R21" s="27" t="s">
        <v>89</v>
      </c>
      <c r="S21" s="27" t="s">
        <v>213</v>
      </c>
      <c r="T21" s="27" t="s">
        <v>214</v>
      </c>
      <c r="U21" s="27">
        <v>196.45</v>
      </c>
      <c r="V21" s="27">
        <v>14</v>
      </c>
      <c r="W21" s="27">
        <v>14.03</v>
      </c>
      <c r="X21" s="28">
        <v>45527</v>
      </c>
      <c r="Y21" s="27" t="s">
        <v>92</v>
      </c>
      <c r="Z21" s="27">
        <v>59</v>
      </c>
      <c r="AA21" s="27">
        <v>16</v>
      </c>
      <c r="AB21" s="27">
        <v>2</v>
      </c>
      <c r="AC21" s="27">
        <v>5</v>
      </c>
      <c r="AD21" s="27">
        <v>4</v>
      </c>
      <c r="AE21" s="27">
        <v>0</v>
      </c>
      <c r="AF21" s="27">
        <v>1</v>
      </c>
      <c r="AG21" s="27">
        <v>0</v>
      </c>
      <c r="AO21" s="27" t="s">
        <v>215</v>
      </c>
      <c r="AP21" s="27">
        <v>0</v>
      </c>
      <c r="AQ21" s="27">
        <v>63</v>
      </c>
      <c r="AR21" s="27">
        <v>0</v>
      </c>
      <c r="AS21" s="27">
        <v>0</v>
      </c>
      <c r="AT21" s="27">
        <v>567000</v>
      </c>
      <c r="AU21" s="27" t="s">
        <v>75</v>
      </c>
      <c r="AV21" s="27">
        <v>1.333333333333333</v>
      </c>
      <c r="AW21" s="27">
        <v>1.7315930774320341</v>
      </c>
      <c r="AX21" s="27" t="b">
        <v>0</v>
      </c>
      <c r="AY21" s="27" t="s">
        <v>216</v>
      </c>
      <c r="AZ21" s="27" t="s">
        <v>217</v>
      </c>
      <c r="BA21" s="27">
        <v>0</v>
      </c>
      <c r="BB21" s="27">
        <v>0</v>
      </c>
      <c r="BC21" s="27" t="s">
        <v>218</v>
      </c>
      <c r="BD21" s="27" t="s">
        <v>219</v>
      </c>
      <c r="BE21" s="27" t="s">
        <v>220</v>
      </c>
      <c r="BF21" s="27" t="s">
        <v>221</v>
      </c>
      <c r="BJ21" s="27" t="s">
        <v>1252</v>
      </c>
    </row>
    <row r="22" spans="1:62" s="27" customFormat="1" x14ac:dyDescent="0.25"/>
    <row r="23" spans="1:62" s="25" customFormat="1" hidden="1" x14ac:dyDescent="0.25">
      <c r="A23" s="25" t="s">
        <v>222</v>
      </c>
      <c r="B23" s="25" t="s">
        <v>223</v>
      </c>
      <c r="C23" s="25">
        <v>60</v>
      </c>
      <c r="D23" s="25" t="s">
        <v>224</v>
      </c>
      <c r="E23" s="25" t="s">
        <v>127</v>
      </c>
      <c r="F23" s="25">
        <v>1</v>
      </c>
      <c r="G23" s="25">
        <v>0</v>
      </c>
      <c r="J23" s="25">
        <v>0</v>
      </c>
      <c r="K23" s="25">
        <v>210</v>
      </c>
      <c r="L23" s="25">
        <v>0</v>
      </c>
      <c r="M23" s="25" t="s">
        <v>225</v>
      </c>
      <c r="N23" s="25" t="s">
        <v>67</v>
      </c>
      <c r="O23" s="25" t="s">
        <v>146</v>
      </c>
      <c r="P23" s="25" t="s">
        <v>226</v>
      </c>
      <c r="Q23" s="25">
        <v>1</v>
      </c>
      <c r="R23" s="25" t="s">
        <v>121</v>
      </c>
      <c r="S23" s="25" t="s">
        <v>227</v>
      </c>
      <c r="U23" s="25">
        <v>10.89</v>
      </c>
      <c r="V23" s="25">
        <v>1</v>
      </c>
      <c r="W23" s="25">
        <v>10.89</v>
      </c>
      <c r="X23" s="26">
        <v>45295</v>
      </c>
      <c r="Z23" s="25">
        <v>0</v>
      </c>
      <c r="AA23" s="25">
        <v>0</v>
      </c>
      <c r="AB23" s="25">
        <v>0</v>
      </c>
      <c r="AC23" s="25">
        <v>1</v>
      </c>
      <c r="AO23" s="25" t="s">
        <v>168</v>
      </c>
      <c r="AP23" s="25">
        <v>0</v>
      </c>
      <c r="AQ23" s="25">
        <v>0</v>
      </c>
      <c r="AR23" s="25">
        <v>0</v>
      </c>
      <c r="AS23" s="25">
        <v>2</v>
      </c>
      <c r="AT23" s="25">
        <v>4305</v>
      </c>
      <c r="AU23" s="25" t="s">
        <v>75</v>
      </c>
      <c r="AV23" s="25">
        <v>4</v>
      </c>
      <c r="AW23" s="25">
        <v>1.732050807568877</v>
      </c>
      <c r="AX23" s="25" t="b">
        <v>0</v>
      </c>
      <c r="AY23" s="25" t="s">
        <v>124</v>
      </c>
      <c r="AZ23" s="25" t="s">
        <v>125</v>
      </c>
      <c r="BA23" s="25">
        <v>0</v>
      </c>
      <c r="BB23" s="25">
        <v>0</v>
      </c>
      <c r="BC23" s="25" t="s">
        <v>228</v>
      </c>
      <c r="BD23" s="25" t="s">
        <v>229</v>
      </c>
      <c r="BE23" s="25" t="s">
        <v>230</v>
      </c>
      <c r="BF23" s="25" t="s">
        <v>230</v>
      </c>
      <c r="BI23" s="25" t="s">
        <v>231</v>
      </c>
      <c r="BJ23" s="25" t="s">
        <v>1253</v>
      </c>
    </row>
    <row r="24" spans="1:62" s="27" customFormat="1" hidden="1" x14ac:dyDescent="0.25">
      <c r="A24" s="27" t="s">
        <v>232</v>
      </c>
      <c r="B24" s="27" t="s">
        <v>233</v>
      </c>
      <c r="C24" s="27">
        <v>27</v>
      </c>
      <c r="D24" s="27" t="s">
        <v>234</v>
      </c>
      <c r="E24" s="27" t="s">
        <v>85</v>
      </c>
      <c r="F24" s="27">
        <v>10</v>
      </c>
      <c r="G24" s="27">
        <v>20</v>
      </c>
      <c r="H24" s="27">
        <v>13</v>
      </c>
      <c r="I24" s="27">
        <v>24</v>
      </c>
      <c r="J24" s="27">
        <v>25</v>
      </c>
      <c r="K24" s="27">
        <v>330</v>
      </c>
      <c r="L24" s="27">
        <v>0</v>
      </c>
      <c r="M24" s="27" t="s">
        <v>235</v>
      </c>
      <c r="N24" s="27" t="s">
        <v>102</v>
      </c>
      <c r="O24" s="27" t="s">
        <v>236</v>
      </c>
      <c r="P24" s="27" t="s">
        <v>69</v>
      </c>
      <c r="R24" s="27" t="s">
        <v>70</v>
      </c>
      <c r="S24" s="27" t="s">
        <v>237</v>
      </c>
      <c r="T24" s="27" t="s">
        <v>91</v>
      </c>
      <c r="U24" s="27">
        <v>1006.5</v>
      </c>
      <c r="V24" s="27">
        <v>20</v>
      </c>
      <c r="W24" s="27">
        <v>50.33</v>
      </c>
      <c r="X24" s="28">
        <v>45420</v>
      </c>
      <c r="Y24" s="27" t="s">
        <v>73</v>
      </c>
      <c r="Z24" s="27">
        <v>15</v>
      </c>
      <c r="AA24" s="27">
        <v>13</v>
      </c>
      <c r="AB24" s="27">
        <v>3</v>
      </c>
      <c r="AC24" s="27">
        <v>4</v>
      </c>
      <c r="AD24" s="27">
        <v>3</v>
      </c>
      <c r="AO24" s="27" t="s">
        <v>238</v>
      </c>
      <c r="AP24" s="27">
        <v>0</v>
      </c>
      <c r="AQ24" s="27">
        <v>0</v>
      </c>
      <c r="AR24" s="27">
        <v>0</v>
      </c>
      <c r="AS24" s="27">
        <v>0</v>
      </c>
      <c r="AT24" s="27">
        <v>72576</v>
      </c>
      <c r="AU24" s="27" t="s">
        <v>75</v>
      </c>
      <c r="AV24" s="27">
        <v>1</v>
      </c>
      <c r="AW24" s="27">
        <v>0.69425820833015361</v>
      </c>
      <c r="AX24" s="27" t="b">
        <v>0</v>
      </c>
      <c r="AY24" s="27" t="s">
        <v>76</v>
      </c>
      <c r="AZ24" s="27" t="s">
        <v>77</v>
      </c>
      <c r="BA24" s="27">
        <v>0</v>
      </c>
      <c r="BB24" s="27">
        <v>0</v>
      </c>
      <c r="BC24" s="27" t="s">
        <v>239</v>
      </c>
      <c r="BD24" s="27" t="s">
        <v>240</v>
      </c>
      <c r="BE24" s="27" t="s">
        <v>241</v>
      </c>
      <c r="BF24" s="27" t="s">
        <v>241</v>
      </c>
      <c r="BJ24" s="27" t="s">
        <v>1252</v>
      </c>
    </row>
    <row r="25" spans="1:62" s="25" customFormat="1" hidden="1" x14ac:dyDescent="0.25">
      <c r="A25" s="25" t="s">
        <v>242</v>
      </c>
      <c r="B25" s="25" t="s">
        <v>243</v>
      </c>
      <c r="C25" s="25">
        <v>1</v>
      </c>
      <c r="D25" s="25" t="s">
        <v>244</v>
      </c>
      <c r="E25" s="25" t="s">
        <v>85</v>
      </c>
      <c r="F25" s="25">
        <v>90</v>
      </c>
      <c r="G25" s="25">
        <v>150</v>
      </c>
      <c r="H25" s="25">
        <v>70</v>
      </c>
      <c r="I25" s="25">
        <v>98</v>
      </c>
      <c r="J25" s="25">
        <v>-442</v>
      </c>
      <c r="K25" s="25">
        <v>180</v>
      </c>
      <c r="L25" s="25">
        <v>86</v>
      </c>
      <c r="M25" s="25" t="s">
        <v>245</v>
      </c>
      <c r="N25" s="25" t="s">
        <v>67</v>
      </c>
      <c r="O25" s="25" t="s">
        <v>246</v>
      </c>
      <c r="P25" s="25" t="s">
        <v>69</v>
      </c>
      <c r="R25" s="25" t="s">
        <v>121</v>
      </c>
      <c r="S25" s="25" t="s">
        <v>247</v>
      </c>
      <c r="T25" s="25" t="s">
        <v>91</v>
      </c>
      <c r="U25" s="25">
        <v>1771.24</v>
      </c>
      <c r="V25" s="25">
        <v>64</v>
      </c>
      <c r="W25" s="25">
        <v>27.68</v>
      </c>
      <c r="X25" s="26">
        <v>44981</v>
      </c>
      <c r="Y25" s="25" t="s">
        <v>92</v>
      </c>
      <c r="Z25" s="25">
        <v>34</v>
      </c>
      <c r="AA25" s="25">
        <v>0</v>
      </c>
      <c r="AB25" s="25">
        <v>0</v>
      </c>
      <c r="AC25" s="25">
        <v>42</v>
      </c>
      <c r="AD25" s="25">
        <v>8</v>
      </c>
      <c r="AE25" s="25">
        <v>0</v>
      </c>
      <c r="AF25" s="25">
        <v>90</v>
      </c>
      <c r="AG25" s="25">
        <v>10</v>
      </c>
      <c r="AH25" s="25">
        <v>70</v>
      </c>
      <c r="AO25" s="25" t="s">
        <v>248</v>
      </c>
      <c r="AP25" s="25">
        <v>0</v>
      </c>
      <c r="AQ25" s="25">
        <v>0</v>
      </c>
      <c r="AR25" s="25">
        <v>0</v>
      </c>
      <c r="AS25" s="25">
        <v>0</v>
      </c>
      <c r="AT25" s="25">
        <v>0</v>
      </c>
      <c r="AU25" s="25" t="s">
        <v>75</v>
      </c>
      <c r="AV25" s="25">
        <v>1.5</v>
      </c>
      <c r="AW25" s="25">
        <v>1.1152230662271001</v>
      </c>
      <c r="AX25" s="25" t="b">
        <v>0</v>
      </c>
      <c r="AY25" s="25" t="s">
        <v>249</v>
      </c>
      <c r="AZ25" s="25" t="s">
        <v>250</v>
      </c>
      <c r="BA25" s="25">
        <v>0</v>
      </c>
      <c r="BB25" s="25">
        <v>0</v>
      </c>
      <c r="BC25" s="25" t="s">
        <v>251</v>
      </c>
      <c r="BD25" s="25" t="s">
        <v>252</v>
      </c>
      <c r="BE25" s="25" t="s">
        <v>253</v>
      </c>
      <c r="BF25" s="25" t="s">
        <v>254</v>
      </c>
      <c r="BJ25" s="25" t="s">
        <v>1253</v>
      </c>
    </row>
    <row r="26" spans="1:62" s="27" customFormat="1" hidden="1" x14ac:dyDescent="0.25">
      <c r="A26" s="27" t="s">
        <v>255</v>
      </c>
      <c r="C26" s="27">
        <v>18</v>
      </c>
      <c r="D26" s="27" t="s">
        <v>256</v>
      </c>
      <c r="E26" s="27" t="s">
        <v>85</v>
      </c>
      <c r="F26" s="27">
        <v>1</v>
      </c>
      <c r="G26" s="27">
        <v>2</v>
      </c>
      <c r="H26" s="27">
        <v>1</v>
      </c>
      <c r="I26" s="27">
        <v>2</v>
      </c>
      <c r="J26" s="27">
        <v>0</v>
      </c>
      <c r="K26" s="27">
        <v>180</v>
      </c>
      <c r="L26" s="27">
        <v>0</v>
      </c>
      <c r="M26" s="27" t="s">
        <v>257</v>
      </c>
      <c r="N26" s="27" t="s">
        <v>167</v>
      </c>
      <c r="O26" s="27" t="s">
        <v>258</v>
      </c>
      <c r="P26" s="27" t="s">
        <v>69</v>
      </c>
      <c r="Q26" s="27">
        <v>3</v>
      </c>
      <c r="R26" s="27" t="s">
        <v>121</v>
      </c>
      <c r="S26" s="27" t="s">
        <v>259</v>
      </c>
      <c r="T26" s="27" t="s">
        <v>91</v>
      </c>
      <c r="U26" s="27">
        <v>195.68</v>
      </c>
      <c r="V26" s="27">
        <v>2</v>
      </c>
      <c r="W26" s="27">
        <v>97.84</v>
      </c>
      <c r="X26" s="28">
        <v>44663</v>
      </c>
      <c r="Y26" s="27" t="s">
        <v>123</v>
      </c>
      <c r="Z26" s="27">
        <v>1</v>
      </c>
      <c r="AA26" s="27">
        <v>0</v>
      </c>
      <c r="AB26" s="27">
        <v>0</v>
      </c>
      <c r="AC26" s="27">
        <v>1</v>
      </c>
      <c r="AD26" s="27">
        <v>0</v>
      </c>
      <c r="AE26" s="27">
        <v>0</v>
      </c>
      <c r="AF26" s="27">
        <v>1</v>
      </c>
      <c r="AG26" s="27">
        <v>0</v>
      </c>
      <c r="AH26" s="27">
        <v>0</v>
      </c>
      <c r="AO26" s="27" t="s">
        <v>260</v>
      </c>
      <c r="AP26" s="27">
        <v>0</v>
      </c>
      <c r="AQ26" s="27">
        <v>0</v>
      </c>
      <c r="AR26" s="27">
        <v>0</v>
      </c>
      <c r="AS26" s="27">
        <v>9</v>
      </c>
      <c r="AT26" s="27">
        <v>0</v>
      </c>
      <c r="AU26" s="27" t="s">
        <v>75</v>
      </c>
      <c r="AV26" s="27">
        <v>3</v>
      </c>
      <c r="AW26" s="27">
        <v>1.4142135623730949</v>
      </c>
      <c r="AX26" s="27" t="b">
        <v>0</v>
      </c>
      <c r="AY26" s="27" t="s">
        <v>124</v>
      </c>
      <c r="AZ26" s="27" t="s">
        <v>125</v>
      </c>
      <c r="BA26" s="27">
        <v>0</v>
      </c>
      <c r="BB26" s="27">
        <v>0</v>
      </c>
      <c r="BC26" s="27" t="s">
        <v>261</v>
      </c>
      <c r="BD26" s="27" t="s">
        <v>262</v>
      </c>
      <c r="BE26" s="27" t="s">
        <v>263</v>
      </c>
      <c r="BF26" s="27" t="s">
        <v>264</v>
      </c>
      <c r="BI26" s="27" t="s">
        <v>265</v>
      </c>
      <c r="BJ26" s="27" t="s">
        <v>1252</v>
      </c>
    </row>
    <row r="27" spans="1:62" s="27" customFormat="1" hidden="1" x14ac:dyDescent="0.25">
      <c r="A27" s="27" t="s">
        <v>266</v>
      </c>
      <c r="B27" s="27" t="s">
        <v>267</v>
      </c>
      <c r="C27" s="27">
        <v>14</v>
      </c>
      <c r="D27" s="27" t="s">
        <v>268</v>
      </c>
      <c r="E27" s="27" t="s">
        <v>85</v>
      </c>
      <c r="F27" s="27">
        <v>8</v>
      </c>
      <c r="G27" s="27">
        <v>15</v>
      </c>
      <c r="H27" s="27">
        <v>17</v>
      </c>
      <c r="I27" s="27">
        <v>40</v>
      </c>
      <c r="J27" s="27">
        <v>2041</v>
      </c>
      <c r="K27" s="27">
        <v>150</v>
      </c>
      <c r="L27" s="27">
        <v>7</v>
      </c>
      <c r="M27" s="27" t="s">
        <v>269</v>
      </c>
      <c r="N27" s="27" t="s">
        <v>102</v>
      </c>
      <c r="O27" s="27" t="s">
        <v>236</v>
      </c>
      <c r="P27" s="27" t="s">
        <v>69</v>
      </c>
      <c r="R27" s="27" t="s">
        <v>70</v>
      </c>
      <c r="S27" s="27" t="s">
        <v>270</v>
      </c>
      <c r="T27" s="27" t="s">
        <v>91</v>
      </c>
      <c r="U27" s="27">
        <v>2041.63</v>
      </c>
      <c r="V27" s="27">
        <v>8</v>
      </c>
      <c r="W27" s="27">
        <v>255.2</v>
      </c>
      <c r="X27" s="28">
        <v>45470</v>
      </c>
      <c r="Y27" s="27" t="s">
        <v>161</v>
      </c>
      <c r="Z27" s="27">
        <v>3</v>
      </c>
      <c r="AA27" s="27">
        <v>3</v>
      </c>
      <c r="AB27" s="27">
        <v>12</v>
      </c>
      <c r="AC27" s="27">
        <v>18</v>
      </c>
      <c r="AD27" s="27">
        <v>16</v>
      </c>
      <c r="AE27" s="27">
        <v>17</v>
      </c>
      <c r="AO27" s="27" t="s">
        <v>271</v>
      </c>
      <c r="AP27" s="27">
        <v>0</v>
      </c>
      <c r="AQ27" s="27">
        <v>0</v>
      </c>
      <c r="AR27" s="27">
        <v>0</v>
      </c>
      <c r="AS27" s="27">
        <v>0</v>
      </c>
      <c r="AT27" s="27">
        <v>8000</v>
      </c>
      <c r="AU27" s="27" t="s">
        <v>75</v>
      </c>
      <c r="AV27" s="27">
        <v>1</v>
      </c>
      <c r="AW27" s="27">
        <v>0.54708945183121382</v>
      </c>
      <c r="AX27" s="27" t="b">
        <v>0</v>
      </c>
      <c r="AY27" s="27" t="s">
        <v>272</v>
      </c>
      <c r="AZ27" s="27" t="s">
        <v>273</v>
      </c>
      <c r="BA27" s="27">
        <v>0</v>
      </c>
      <c r="BB27" s="27">
        <v>0</v>
      </c>
      <c r="BC27" s="27" t="s">
        <v>274</v>
      </c>
      <c r="BD27" s="27" t="s">
        <v>275</v>
      </c>
      <c r="BG27" s="27" t="s">
        <v>276</v>
      </c>
      <c r="BH27" s="27" t="s">
        <v>277</v>
      </c>
      <c r="BJ27" s="27" t="s">
        <v>1252</v>
      </c>
    </row>
    <row r="28" spans="1:62" s="27" customFormat="1" hidden="1" x14ac:dyDescent="0.25">
      <c r="A28" s="27" t="s">
        <v>278</v>
      </c>
      <c r="B28" s="27" t="s">
        <v>279</v>
      </c>
      <c r="C28" s="27">
        <v>29</v>
      </c>
      <c r="D28" s="27" t="s">
        <v>280</v>
      </c>
      <c r="E28" s="27" t="s">
        <v>85</v>
      </c>
      <c r="F28" s="27">
        <v>20</v>
      </c>
      <c r="G28" s="27">
        <v>80</v>
      </c>
      <c r="H28" s="27">
        <v>21</v>
      </c>
      <c r="I28" s="27">
        <v>70</v>
      </c>
      <c r="J28" s="27">
        <v>-33</v>
      </c>
      <c r="K28" s="27">
        <v>150</v>
      </c>
      <c r="L28" s="27">
        <v>10</v>
      </c>
      <c r="M28" s="27" t="s">
        <v>281</v>
      </c>
      <c r="N28" s="27" t="s">
        <v>102</v>
      </c>
      <c r="O28" s="27" t="s">
        <v>282</v>
      </c>
      <c r="P28" s="27" t="s">
        <v>69</v>
      </c>
      <c r="R28" s="27" t="s">
        <v>89</v>
      </c>
      <c r="S28" s="27" t="s">
        <v>283</v>
      </c>
      <c r="T28" s="27" t="s">
        <v>284</v>
      </c>
      <c r="U28" s="27">
        <v>423.5</v>
      </c>
      <c r="V28" s="27">
        <v>70</v>
      </c>
      <c r="W28" s="27">
        <v>6.05</v>
      </c>
      <c r="X28" s="28">
        <v>45314</v>
      </c>
      <c r="Y28" s="27" t="s">
        <v>92</v>
      </c>
      <c r="Z28" s="27">
        <v>44</v>
      </c>
      <c r="AA28" s="27">
        <v>21</v>
      </c>
      <c r="AB28" s="27">
        <v>35</v>
      </c>
      <c r="AC28" s="27">
        <v>16</v>
      </c>
      <c r="AD28" s="27">
        <v>4</v>
      </c>
      <c r="AE28" s="27">
        <v>15</v>
      </c>
      <c r="AF28" s="27">
        <v>10</v>
      </c>
      <c r="AG28" s="27">
        <v>10</v>
      </c>
      <c r="AH28" s="27">
        <v>8</v>
      </c>
      <c r="AI28" s="27">
        <v>0</v>
      </c>
      <c r="AJ28" s="27">
        <v>4</v>
      </c>
      <c r="AO28" s="27" t="s">
        <v>285</v>
      </c>
      <c r="AP28" s="27">
        <v>0</v>
      </c>
      <c r="AQ28" s="27">
        <v>0</v>
      </c>
      <c r="AR28" s="27">
        <v>0</v>
      </c>
      <c r="AS28" s="27">
        <v>0</v>
      </c>
      <c r="AT28" s="27">
        <v>7780</v>
      </c>
      <c r="AU28" s="27" t="s">
        <v>75</v>
      </c>
      <c r="AV28" s="27">
        <v>1.1000000000000001</v>
      </c>
      <c r="AW28" s="27">
        <v>0.85274170629546808</v>
      </c>
      <c r="AX28" s="27" t="b">
        <v>0</v>
      </c>
      <c r="AY28" s="27" t="s">
        <v>76</v>
      </c>
      <c r="AZ28" s="27" t="s">
        <v>77</v>
      </c>
      <c r="BA28" s="27">
        <v>0</v>
      </c>
      <c r="BB28" s="27">
        <v>0</v>
      </c>
      <c r="BC28" s="27" t="s">
        <v>286</v>
      </c>
      <c r="BD28" s="27" t="s">
        <v>287</v>
      </c>
      <c r="BE28" s="27" t="s">
        <v>288</v>
      </c>
      <c r="BF28" s="27" t="s">
        <v>288</v>
      </c>
      <c r="BJ28" s="27" t="s">
        <v>1252</v>
      </c>
    </row>
    <row r="29" spans="1:62" s="27" customFormat="1" x14ac:dyDescent="0.25">
      <c r="X29" s="28"/>
    </row>
    <row r="30" spans="1:62" s="27" customFormat="1" hidden="1" x14ac:dyDescent="0.25">
      <c r="A30" s="27" t="s">
        <v>290</v>
      </c>
      <c r="B30" s="27" t="s">
        <v>291</v>
      </c>
      <c r="C30" s="27">
        <v>12</v>
      </c>
      <c r="D30" s="27" t="s">
        <v>292</v>
      </c>
      <c r="E30" s="27" t="s">
        <v>85</v>
      </c>
      <c r="F30" s="27">
        <v>3</v>
      </c>
      <c r="G30" s="27">
        <v>5</v>
      </c>
      <c r="H30" s="27">
        <v>2</v>
      </c>
      <c r="I30" s="27">
        <v>6</v>
      </c>
      <c r="J30" s="27">
        <v>47</v>
      </c>
      <c r="K30" s="27">
        <v>150</v>
      </c>
      <c r="L30" s="27">
        <v>0</v>
      </c>
      <c r="M30" s="27" t="s">
        <v>293</v>
      </c>
      <c r="N30" s="27" t="s">
        <v>102</v>
      </c>
      <c r="O30" s="27" t="s">
        <v>294</v>
      </c>
      <c r="P30" s="27" t="s">
        <v>69</v>
      </c>
      <c r="Q30" s="27">
        <v>2</v>
      </c>
      <c r="R30" s="27" t="s">
        <v>89</v>
      </c>
      <c r="S30" s="27" t="s">
        <v>71</v>
      </c>
      <c r="T30" s="27" t="s">
        <v>295</v>
      </c>
      <c r="U30" s="27">
        <v>236</v>
      </c>
      <c r="V30" s="27">
        <v>5</v>
      </c>
      <c r="W30" s="27">
        <v>47.2</v>
      </c>
      <c r="X30" s="28">
        <v>45054</v>
      </c>
      <c r="Y30" s="27" t="s">
        <v>92</v>
      </c>
      <c r="Z30" s="27">
        <v>6</v>
      </c>
      <c r="AA30" s="27">
        <v>0</v>
      </c>
      <c r="AB30" s="27">
        <v>1</v>
      </c>
      <c r="AC30" s="27">
        <v>2</v>
      </c>
      <c r="AD30" s="27">
        <v>0</v>
      </c>
      <c r="AE30" s="27">
        <v>2</v>
      </c>
      <c r="AF30" s="27">
        <v>1</v>
      </c>
      <c r="AG30" s="27">
        <v>1</v>
      </c>
      <c r="AH30" s="27">
        <v>2</v>
      </c>
      <c r="AI30" s="27">
        <v>0</v>
      </c>
      <c r="AJ30" s="27">
        <v>1</v>
      </c>
      <c r="AO30" s="27" t="s">
        <v>296</v>
      </c>
      <c r="AP30" s="27">
        <v>0</v>
      </c>
      <c r="AQ30" s="27">
        <v>0</v>
      </c>
      <c r="AR30" s="27">
        <v>0</v>
      </c>
      <c r="AS30" s="27">
        <v>1</v>
      </c>
      <c r="AT30" s="27">
        <v>2817</v>
      </c>
      <c r="AU30" s="27" t="s">
        <v>75</v>
      </c>
      <c r="AV30" s="27">
        <v>1.375</v>
      </c>
      <c r="AW30" s="27">
        <v>1.111024302164449</v>
      </c>
      <c r="AX30" s="27" t="b">
        <v>0</v>
      </c>
      <c r="AY30" s="27" t="s">
        <v>297</v>
      </c>
      <c r="AZ30" s="27" t="s">
        <v>298</v>
      </c>
      <c r="BA30" s="27">
        <v>0</v>
      </c>
      <c r="BB30" s="27">
        <v>0</v>
      </c>
      <c r="BC30" s="27" t="s">
        <v>299</v>
      </c>
      <c r="BD30" s="27" t="s">
        <v>300</v>
      </c>
      <c r="BE30" s="27" t="s">
        <v>301</v>
      </c>
      <c r="BF30" s="27" t="s">
        <v>301</v>
      </c>
      <c r="BI30" s="27" t="s">
        <v>302</v>
      </c>
      <c r="BJ30" s="27" t="s">
        <v>1252</v>
      </c>
    </row>
    <row r="31" spans="1:62" s="25" customFormat="1" x14ac:dyDescent="0.25"/>
    <row r="32" spans="1:62" s="27" customFormat="1" hidden="1" x14ac:dyDescent="0.25">
      <c r="A32" s="27" t="s">
        <v>303</v>
      </c>
      <c r="B32" s="27" t="s">
        <v>304</v>
      </c>
      <c r="C32" s="27">
        <v>14</v>
      </c>
      <c r="D32" s="27" t="s">
        <v>305</v>
      </c>
      <c r="E32" s="27" t="s">
        <v>85</v>
      </c>
      <c r="F32" s="27">
        <v>2</v>
      </c>
      <c r="G32" s="27">
        <v>3</v>
      </c>
      <c r="H32" s="27">
        <v>1</v>
      </c>
      <c r="I32" s="27">
        <v>7</v>
      </c>
      <c r="J32" s="27">
        <v>92</v>
      </c>
      <c r="K32" s="27">
        <v>150</v>
      </c>
      <c r="L32" s="27">
        <v>1</v>
      </c>
      <c r="M32" s="27" t="s">
        <v>306</v>
      </c>
      <c r="N32" s="27" t="s">
        <v>67</v>
      </c>
      <c r="O32" s="27" t="s">
        <v>307</v>
      </c>
      <c r="P32" s="27" t="s">
        <v>69</v>
      </c>
      <c r="R32" s="27" t="s">
        <v>70</v>
      </c>
      <c r="S32" s="27" t="s">
        <v>308</v>
      </c>
      <c r="T32" s="27" t="s">
        <v>91</v>
      </c>
      <c r="U32" s="27">
        <v>73.819999999999993</v>
      </c>
      <c r="V32" s="27">
        <v>2</v>
      </c>
      <c r="W32" s="27">
        <v>36.909999999999997</v>
      </c>
      <c r="X32" s="28">
        <v>45439</v>
      </c>
      <c r="Y32" s="27" t="s">
        <v>123</v>
      </c>
      <c r="Z32" s="27">
        <v>2</v>
      </c>
      <c r="AA32" s="27">
        <v>1</v>
      </c>
      <c r="AB32" s="27">
        <v>1</v>
      </c>
      <c r="AC32" s="27">
        <v>0</v>
      </c>
      <c r="AO32" s="27" t="s">
        <v>309</v>
      </c>
      <c r="AP32" s="27">
        <v>0</v>
      </c>
      <c r="AQ32" s="27">
        <v>0</v>
      </c>
      <c r="AR32" s="27">
        <v>0</v>
      </c>
      <c r="AS32" s="27">
        <v>0</v>
      </c>
      <c r="AT32" s="27">
        <v>1267</v>
      </c>
      <c r="AU32" s="27" t="s">
        <v>75</v>
      </c>
      <c r="AV32" s="27">
        <v>1.333333333333333</v>
      </c>
      <c r="AW32" s="27">
        <v>0.70710678118654757</v>
      </c>
      <c r="AX32" s="27" t="b">
        <v>0</v>
      </c>
      <c r="AY32" s="27" t="s">
        <v>310</v>
      </c>
      <c r="AZ32" s="27" t="s">
        <v>311</v>
      </c>
      <c r="BA32" s="27">
        <v>0</v>
      </c>
      <c r="BB32" s="27">
        <v>0</v>
      </c>
      <c r="BC32" s="27" t="s">
        <v>312</v>
      </c>
      <c r="BD32" s="27" t="s">
        <v>313</v>
      </c>
      <c r="BE32" s="27" t="s">
        <v>308</v>
      </c>
      <c r="BF32" s="27" t="s">
        <v>308</v>
      </c>
      <c r="BJ32" s="27" t="s">
        <v>1252</v>
      </c>
    </row>
    <row r="33" spans="1:62" s="25" customFormat="1" hidden="1" x14ac:dyDescent="0.25">
      <c r="A33" s="25" t="s">
        <v>314</v>
      </c>
      <c r="B33" s="25" t="s">
        <v>315</v>
      </c>
      <c r="C33" s="25">
        <v>78</v>
      </c>
      <c r="D33" s="25" t="s">
        <v>316</v>
      </c>
      <c r="E33" s="25" t="s">
        <v>85</v>
      </c>
      <c r="F33" s="25">
        <v>3</v>
      </c>
      <c r="G33" s="25">
        <v>4</v>
      </c>
      <c r="J33" s="25">
        <v>0</v>
      </c>
      <c r="K33" s="25">
        <v>420</v>
      </c>
      <c r="L33" s="25">
        <v>2</v>
      </c>
      <c r="M33" s="25" t="s">
        <v>317</v>
      </c>
      <c r="N33" s="25" t="s">
        <v>102</v>
      </c>
      <c r="O33" s="25" t="s">
        <v>318</v>
      </c>
      <c r="P33" s="25" t="s">
        <v>128</v>
      </c>
      <c r="Q33" s="25">
        <v>2</v>
      </c>
      <c r="R33" s="25" t="s">
        <v>70</v>
      </c>
      <c r="S33" s="25" t="s">
        <v>71</v>
      </c>
      <c r="U33" s="25">
        <v>116.98</v>
      </c>
      <c r="V33" s="25">
        <v>2</v>
      </c>
      <c r="W33" s="25">
        <v>58.49</v>
      </c>
      <c r="X33" s="26">
        <v>45450</v>
      </c>
      <c r="Z33" s="25">
        <v>2</v>
      </c>
      <c r="AA33" s="25">
        <v>1</v>
      </c>
      <c r="AB33" s="25">
        <v>2</v>
      </c>
      <c r="AC33" s="25">
        <v>1</v>
      </c>
      <c r="AO33" s="25" t="s">
        <v>260</v>
      </c>
      <c r="AP33" s="25">
        <v>0</v>
      </c>
      <c r="AQ33" s="25">
        <v>0</v>
      </c>
      <c r="AR33" s="25">
        <v>0</v>
      </c>
      <c r="AS33" s="25">
        <v>10</v>
      </c>
      <c r="AT33" s="25">
        <v>2762</v>
      </c>
      <c r="AU33" s="25" t="s">
        <v>75</v>
      </c>
      <c r="AV33" s="25">
        <v>1</v>
      </c>
      <c r="AW33" s="25">
        <v>0.33333333333333331</v>
      </c>
      <c r="AX33" s="25" t="b">
        <v>0</v>
      </c>
      <c r="AY33" s="25" t="s">
        <v>319</v>
      </c>
      <c r="AZ33" s="25" t="s">
        <v>320</v>
      </c>
      <c r="BA33" s="25">
        <v>2</v>
      </c>
      <c r="BB33" s="25">
        <v>0</v>
      </c>
      <c r="BC33" s="25" t="s">
        <v>321</v>
      </c>
      <c r="BD33" s="25" t="s">
        <v>322</v>
      </c>
      <c r="BE33" s="25" t="s">
        <v>323</v>
      </c>
      <c r="BF33" s="25" t="s">
        <v>323</v>
      </c>
      <c r="BI33" s="25" t="s">
        <v>324</v>
      </c>
      <c r="BJ33" s="25" t="s">
        <v>1253</v>
      </c>
    </row>
    <row r="34" spans="1:62" s="27" customFormat="1" x14ac:dyDescent="0.25"/>
    <row r="35" spans="1:62" s="25" customFormat="1" hidden="1" x14ac:dyDescent="0.25">
      <c r="A35" s="25" t="s">
        <v>325</v>
      </c>
      <c r="B35" s="25" t="s">
        <v>326</v>
      </c>
      <c r="C35" s="25">
        <v>1</v>
      </c>
      <c r="D35" s="25" t="s">
        <v>327</v>
      </c>
      <c r="E35" s="25" t="s">
        <v>65</v>
      </c>
      <c r="F35" s="25">
        <v>126</v>
      </c>
      <c r="G35" s="25">
        <v>200</v>
      </c>
      <c r="H35" s="25">
        <v>53</v>
      </c>
      <c r="I35" s="25">
        <v>112</v>
      </c>
      <c r="J35" s="25">
        <v>-319</v>
      </c>
      <c r="K35" s="25">
        <v>330</v>
      </c>
      <c r="L35" s="25">
        <v>118</v>
      </c>
      <c r="M35" s="25" t="s">
        <v>328</v>
      </c>
      <c r="N35" s="25" t="s">
        <v>67</v>
      </c>
      <c r="O35" s="25" t="s">
        <v>329</v>
      </c>
      <c r="P35" s="25" t="s">
        <v>69</v>
      </c>
      <c r="R35" s="25" t="s">
        <v>70</v>
      </c>
      <c r="S35" s="25" t="s">
        <v>330</v>
      </c>
      <c r="T35" s="25" t="s">
        <v>331</v>
      </c>
      <c r="U35" s="25">
        <v>3830.35</v>
      </c>
      <c r="V35" s="25">
        <v>90</v>
      </c>
      <c r="W35" s="25">
        <v>42.56</v>
      </c>
      <c r="X35" s="26">
        <v>45294</v>
      </c>
      <c r="Y35" s="25" t="s">
        <v>92</v>
      </c>
      <c r="Z35" s="25">
        <v>108</v>
      </c>
      <c r="AA35" s="25">
        <v>15</v>
      </c>
      <c r="AB35" s="25">
        <v>53</v>
      </c>
      <c r="AC35" s="25">
        <v>39</v>
      </c>
      <c r="AD35" s="25">
        <v>58</v>
      </c>
      <c r="AO35" s="25" t="s">
        <v>332</v>
      </c>
      <c r="AP35" s="25">
        <v>0</v>
      </c>
      <c r="AQ35" s="25">
        <v>0</v>
      </c>
      <c r="AR35" s="25">
        <v>0</v>
      </c>
      <c r="AS35" s="25">
        <v>0</v>
      </c>
      <c r="AT35" s="25">
        <v>0</v>
      </c>
      <c r="AU35" s="25" t="s">
        <v>75</v>
      </c>
      <c r="AV35" s="25">
        <v>1</v>
      </c>
      <c r="AW35" s="25">
        <v>0.56016416897323829</v>
      </c>
      <c r="AX35" s="25" t="b">
        <v>0</v>
      </c>
      <c r="AY35" s="25" t="s">
        <v>136</v>
      </c>
      <c r="AZ35" s="25" t="s">
        <v>137</v>
      </c>
      <c r="BA35" s="25">
        <v>0</v>
      </c>
      <c r="BB35" s="25">
        <v>0</v>
      </c>
      <c r="BC35" s="25" t="s">
        <v>333</v>
      </c>
      <c r="BD35" s="25" t="s">
        <v>334</v>
      </c>
      <c r="BE35" s="25" t="s">
        <v>335</v>
      </c>
      <c r="BF35" s="25" t="s">
        <v>335</v>
      </c>
      <c r="BJ35" s="25" t="s">
        <v>1253</v>
      </c>
    </row>
    <row r="36" spans="1:62" s="25" customFormat="1" x14ac:dyDescent="0.25">
      <c r="X36" s="26"/>
    </row>
    <row r="37" spans="1:62" s="27" customFormat="1" hidden="1" x14ac:dyDescent="0.25">
      <c r="A37" s="27" t="s">
        <v>336</v>
      </c>
      <c r="B37" s="27" t="s">
        <v>337</v>
      </c>
      <c r="C37" s="27">
        <v>14</v>
      </c>
      <c r="D37" s="27" t="s">
        <v>338</v>
      </c>
      <c r="E37" s="27" t="s">
        <v>65</v>
      </c>
      <c r="F37" s="27">
        <v>237</v>
      </c>
      <c r="G37" s="27">
        <v>720</v>
      </c>
      <c r="H37" s="27">
        <v>209</v>
      </c>
      <c r="I37" s="27">
        <v>698</v>
      </c>
      <c r="J37" s="27">
        <v>12</v>
      </c>
      <c r="K37" s="27">
        <v>120</v>
      </c>
      <c r="L37" s="27">
        <v>223</v>
      </c>
      <c r="M37" s="27" t="s">
        <v>339</v>
      </c>
      <c r="N37" s="27" t="s">
        <v>67</v>
      </c>
      <c r="O37" s="27" t="s">
        <v>340</v>
      </c>
      <c r="P37" s="27" t="s">
        <v>69</v>
      </c>
      <c r="R37" s="27" t="s">
        <v>70</v>
      </c>
      <c r="S37" s="27" t="s">
        <v>71</v>
      </c>
      <c r="T37" s="27" t="s">
        <v>91</v>
      </c>
      <c r="U37" s="27">
        <v>2053.7399999999998</v>
      </c>
      <c r="V37" s="27">
        <v>500</v>
      </c>
      <c r="W37" s="27">
        <v>4.1100000000000003</v>
      </c>
      <c r="X37" s="28">
        <v>45118</v>
      </c>
      <c r="Y37" s="27" t="s">
        <v>73</v>
      </c>
      <c r="Z37" s="27">
        <v>145</v>
      </c>
      <c r="AA37" s="27">
        <v>133</v>
      </c>
      <c r="AB37" s="27">
        <v>93</v>
      </c>
      <c r="AC37" s="27">
        <v>127</v>
      </c>
      <c r="AD37" s="27">
        <v>221</v>
      </c>
      <c r="AE37" s="27">
        <v>199</v>
      </c>
      <c r="AF37" s="27">
        <v>175</v>
      </c>
      <c r="AG37" s="27">
        <v>209</v>
      </c>
      <c r="AH37" s="27">
        <v>163</v>
      </c>
      <c r="AI37" s="27">
        <v>195</v>
      </c>
      <c r="AJ37" s="27">
        <v>193</v>
      </c>
      <c r="AK37" s="27">
        <v>192</v>
      </c>
      <c r="AL37" s="27">
        <v>112</v>
      </c>
      <c r="AM37" s="27">
        <v>0</v>
      </c>
      <c r="AO37" s="27" t="s">
        <v>341</v>
      </c>
      <c r="AP37" s="27">
        <v>0</v>
      </c>
      <c r="AQ37" s="27">
        <v>0</v>
      </c>
      <c r="AR37" s="27">
        <v>0</v>
      </c>
      <c r="AS37" s="27">
        <v>0</v>
      </c>
      <c r="AT37" s="27">
        <v>899100</v>
      </c>
      <c r="AU37" s="27" t="s">
        <v>75</v>
      </c>
      <c r="AV37" s="27">
        <v>1</v>
      </c>
      <c r="AW37" s="27">
        <v>0.2172266722655137</v>
      </c>
      <c r="AX37" s="27" t="b">
        <v>0</v>
      </c>
      <c r="AY37" s="27" t="s">
        <v>76</v>
      </c>
      <c r="AZ37" s="27" t="s">
        <v>77</v>
      </c>
      <c r="BA37" s="27">
        <v>0</v>
      </c>
      <c r="BB37" s="27">
        <v>0</v>
      </c>
      <c r="BC37" s="27" t="s">
        <v>342</v>
      </c>
      <c r="BD37" s="27" t="s">
        <v>343</v>
      </c>
      <c r="BE37" s="27" t="s">
        <v>344</v>
      </c>
      <c r="BF37" s="27" t="s">
        <v>344</v>
      </c>
      <c r="BJ37" s="27" t="s">
        <v>1252</v>
      </c>
    </row>
    <row r="38" spans="1:62" s="27" customFormat="1" x14ac:dyDescent="0.25"/>
    <row r="39" spans="1:62" s="25" customFormat="1" x14ac:dyDescent="0.25"/>
    <row r="40" spans="1:62" s="27" customFormat="1" x14ac:dyDescent="0.25">
      <c r="X40" s="28"/>
    </row>
    <row r="41" spans="1:62" s="27" customFormat="1" hidden="1" x14ac:dyDescent="0.25">
      <c r="A41" s="27" t="s">
        <v>346</v>
      </c>
      <c r="C41" s="27">
        <v>48</v>
      </c>
      <c r="D41" s="27" t="s">
        <v>347</v>
      </c>
      <c r="E41" s="27" t="s">
        <v>85</v>
      </c>
      <c r="F41" s="27">
        <v>3</v>
      </c>
      <c r="G41" s="27">
        <v>5</v>
      </c>
      <c r="H41" s="27">
        <v>3</v>
      </c>
      <c r="I41" s="27">
        <v>5</v>
      </c>
      <c r="J41" s="27">
        <v>0</v>
      </c>
      <c r="K41" s="27">
        <v>180</v>
      </c>
      <c r="L41" s="27">
        <v>1</v>
      </c>
      <c r="M41" s="27" t="s">
        <v>348</v>
      </c>
      <c r="N41" s="27" t="s">
        <v>102</v>
      </c>
      <c r="O41" s="27" t="s">
        <v>349</v>
      </c>
      <c r="P41" s="27" t="s">
        <v>69</v>
      </c>
      <c r="R41" s="27" t="s">
        <v>121</v>
      </c>
      <c r="S41" s="27" t="s">
        <v>71</v>
      </c>
      <c r="T41" s="27" t="s">
        <v>91</v>
      </c>
      <c r="U41" s="27">
        <v>412.94</v>
      </c>
      <c r="V41" s="27">
        <v>4</v>
      </c>
      <c r="W41" s="27">
        <v>103.24</v>
      </c>
      <c r="X41" s="28">
        <v>45293</v>
      </c>
      <c r="Y41" s="27" t="s">
        <v>123</v>
      </c>
      <c r="Z41" s="27">
        <v>0</v>
      </c>
      <c r="AA41" s="27">
        <v>0</v>
      </c>
      <c r="AB41" s="27">
        <v>3</v>
      </c>
      <c r="AC41" s="27">
        <v>1</v>
      </c>
      <c r="AD41" s="27">
        <v>0</v>
      </c>
      <c r="AE41" s="27">
        <v>1</v>
      </c>
      <c r="AF41" s="27">
        <v>4</v>
      </c>
      <c r="AG41" s="27">
        <v>0</v>
      </c>
      <c r="AH41" s="27">
        <v>0</v>
      </c>
      <c r="AO41" s="27" t="s">
        <v>350</v>
      </c>
      <c r="AP41" s="27">
        <v>0</v>
      </c>
      <c r="AQ41" s="27">
        <v>0</v>
      </c>
      <c r="AR41" s="27">
        <v>0</v>
      </c>
      <c r="AS41" s="27">
        <v>0</v>
      </c>
      <c r="AT41" s="27">
        <v>630</v>
      </c>
      <c r="AU41" s="27" t="s">
        <v>75</v>
      </c>
      <c r="AV41" s="27">
        <v>2.25</v>
      </c>
      <c r="AW41" s="27">
        <v>1.4142135623730949</v>
      </c>
      <c r="AX41" s="27" t="b">
        <v>0</v>
      </c>
      <c r="AY41" s="27" t="s">
        <v>203</v>
      </c>
      <c r="AZ41" s="27" t="s">
        <v>204</v>
      </c>
      <c r="BA41" s="27">
        <v>0</v>
      </c>
      <c r="BB41" s="27">
        <v>0</v>
      </c>
      <c r="BC41" s="27" t="s">
        <v>351</v>
      </c>
      <c r="BD41" s="27" t="s">
        <v>352</v>
      </c>
      <c r="BE41" s="27" t="s">
        <v>353</v>
      </c>
      <c r="BF41" s="27" t="s">
        <v>354</v>
      </c>
      <c r="BJ41" s="27" t="s">
        <v>1252</v>
      </c>
    </row>
    <row r="42" spans="1:62" s="27" customFormat="1" hidden="1" x14ac:dyDescent="0.25">
      <c r="A42" s="27" t="s">
        <v>355</v>
      </c>
      <c r="B42" s="27" t="s">
        <v>356</v>
      </c>
      <c r="C42" s="27">
        <v>29</v>
      </c>
      <c r="D42" s="27" t="s">
        <v>357</v>
      </c>
      <c r="E42" s="27" t="s">
        <v>85</v>
      </c>
      <c r="F42" s="27">
        <v>10</v>
      </c>
      <c r="G42" s="27">
        <v>30</v>
      </c>
      <c r="H42" s="27">
        <v>7</v>
      </c>
      <c r="I42" s="27">
        <v>22</v>
      </c>
      <c r="J42" s="27">
        <v>-18</v>
      </c>
      <c r="K42" s="27">
        <v>150</v>
      </c>
      <c r="L42" s="27">
        <v>7</v>
      </c>
      <c r="M42" s="27" t="s">
        <v>358</v>
      </c>
      <c r="N42" s="27" t="s">
        <v>102</v>
      </c>
      <c r="O42" s="27" t="s">
        <v>359</v>
      </c>
      <c r="P42" s="27" t="s">
        <v>69</v>
      </c>
      <c r="Q42" s="27">
        <v>3</v>
      </c>
      <c r="R42" s="27" t="s">
        <v>89</v>
      </c>
      <c r="S42" s="27" t="s">
        <v>360</v>
      </c>
      <c r="T42" s="27" t="s">
        <v>361</v>
      </c>
      <c r="U42" s="27">
        <v>171.02</v>
      </c>
      <c r="V42" s="27">
        <v>23</v>
      </c>
      <c r="W42" s="27">
        <v>7.44</v>
      </c>
      <c r="X42" s="28">
        <v>45314</v>
      </c>
      <c r="Y42" s="27" t="s">
        <v>92</v>
      </c>
      <c r="Z42" s="27">
        <v>22</v>
      </c>
      <c r="AA42" s="27">
        <v>0</v>
      </c>
      <c r="AB42" s="27">
        <v>4</v>
      </c>
      <c r="AC42" s="27">
        <v>4</v>
      </c>
      <c r="AD42" s="27">
        <v>0</v>
      </c>
      <c r="AE42" s="27">
        <v>8</v>
      </c>
      <c r="AF42" s="27">
        <v>7</v>
      </c>
      <c r="AG42" s="27">
        <v>2</v>
      </c>
      <c r="AH42" s="27">
        <v>0</v>
      </c>
      <c r="AI42" s="27">
        <v>3</v>
      </c>
      <c r="AJ42" s="27">
        <v>5</v>
      </c>
      <c r="AO42" s="27" t="s">
        <v>362</v>
      </c>
      <c r="AP42" s="27">
        <v>0</v>
      </c>
      <c r="AQ42" s="27">
        <v>0</v>
      </c>
      <c r="AR42" s="27">
        <v>0</v>
      </c>
      <c r="AS42" s="27">
        <v>0</v>
      </c>
      <c r="AT42" s="27">
        <v>15673</v>
      </c>
      <c r="AU42" s="27" t="s">
        <v>75</v>
      </c>
      <c r="AV42" s="27">
        <v>1.375</v>
      </c>
      <c r="AW42" s="27">
        <v>1.193924011591418</v>
      </c>
      <c r="AX42" s="27" t="b">
        <v>0</v>
      </c>
      <c r="AY42" s="27" t="s">
        <v>363</v>
      </c>
      <c r="AZ42" s="27" t="s">
        <v>364</v>
      </c>
      <c r="BA42" s="27">
        <v>0</v>
      </c>
      <c r="BB42" s="27">
        <v>0</v>
      </c>
      <c r="BC42" s="27" t="s">
        <v>365</v>
      </c>
      <c r="BD42" s="27" t="s">
        <v>366</v>
      </c>
      <c r="BE42" s="27" t="s">
        <v>367</v>
      </c>
      <c r="BF42" s="27" t="s">
        <v>367</v>
      </c>
      <c r="BI42" s="27" t="s">
        <v>368</v>
      </c>
      <c r="BJ42" s="27" t="s">
        <v>1252</v>
      </c>
    </row>
    <row r="43" spans="1:62" s="27" customFormat="1" hidden="1" x14ac:dyDescent="0.25">
      <c r="A43" s="27" t="s">
        <v>369</v>
      </c>
      <c r="B43" s="27" t="s">
        <v>370</v>
      </c>
      <c r="C43" s="27">
        <v>14</v>
      </c>
      <c r="D43" s="27" t="s">
        <v>371</v>
      </c>
      <c r="E43" s="27" t="s">
        <v>65</v>
      </c>
      <c r="F43" s="27">
        <v>52</v>
      </c>
      <c r="G43" s="27">
        <v>100</v>
      </c>
      <c r="H43" s="27">
        <v>48</v>
      </c>
      <c r="I43" s="27">
        <v>107</v>
      </c>
      <c r="J43" s="27">
        <v>280</v>
      </c>
      <c r="K43" s="27">
        <v>240</v>
      </c>
      <c r="L43" s="27">
        <v>39</v>
      </c>
      <c r="M43" s="27" t="s">
        <v>372</v>
      </c>
      <c r="N43" s="27" t="s">
        <v>102</v>
      </c>
      <c r="O43" s="27" t="s">
        <v>318</v>
      </c>
      <c r="P43" s="27" t="s">
        <v>69</v>
      </c>
      <c r="Q43" s="27">
        <v>1</v>
      </c>
      <c r="R43" s="27" t="s">
        <v>70</v>
      </c>
      <c r="S43" s="27" t="s">
        <v>373</v>
      </c>
      <c r="T43" s="27" t="s">
        <v>374</v>
      </c>
      <c r="U43" s="27">
        <v>3311.13</v>
      </c>
      <c r="V43" s="27">
        <v>65</v>
      </c>
      <c r="W43" s="27">
        <v>50.94</v>
      </c>
      <c r="X43" s="28">
        <v>44886</v>
      </c>
      <c r="Y43" s="27" t="s">
        <v>161</v>
      </c>
      <c r="Z43" s="27">
        <v>35</v>
      </c>
      <c r="AA43" s="27">
        <v>31</v>
      </c>
      <c r="AB43" s="27">
        <v>48</v>
      </c>
      <c r="AC43" s="27">
        <v>62</v>
      </c>
      <c r="AD43" s="27">
        <v>36</v>
      </c>
      <c r="AE43" s="27">
        <v>42</v>
      </c>
      <c r="AF43" s="27">
        <v>95</v>
      </c>
      <c r="AO43" s="27" t="s">
        <v>375</v>
      </c>
      <c r="AP43" s="27">
        <v>0</v>
      </c>
      <c r="AQ43" s="27">
        <v>0</v>
      </c>
      <c r="AR43" s="27">
        <v>0</v>
      </c>
      <c r="AS43" s="27">
        <v>35</v>
      </c>
      <c r="AT43" s="27">
        <v>9506</v>
      </c>
      <c r="AU43" s="27" t="s">
        <v>75</v>
      </c>
      <c r="AV43" s="27">
        <v>1</v>
      </c>
      <c r="AW43" s="27">
        <v>0.41652864548718799</v>
      </c>
      <c r="AX43" s="27" t="b">
        <v>0</v>
      </c>
      <c r="AY43" s="27" t="s">
        <v>203</v>
      </c>
      <c r="AZ43" s="27" t="s">
        <v>204</v>
      </c>
      <c r="BA43" s="27">
        <v>0</v>
      </c>
      <c r="BB43" s="27">
        <v>0</v>
      </c>
      <c r="BC43" s="27" t="s">
        <v>376</v>
      </c>
      <c r="BD43" s="27" t="s">
        <v>377</v>
      </c>
      <c r="BG43" s="27" t="s">
        <v>378</v>
      </c>
      <c r="BH43" s="27" t="s">
        <v>379</v>
      </c>
      <c r="BI43" s="27" t="s">
        <v>380</v>
      </c>
      <c r="BJ43" s="27" t="s">
        <v>1252</v>
      </c>
    </row>
    <row r="44" spans="1:62" s="27" customFormat="1" x14ac:dyDescent="0.25"/>
    <row r="45" spans="1:62" s="25" customFormat="1" hidden="1" x14ac:dyDescent="0.25">
      <c r="A45" s="25" t="s">
        <v>382</v>
      </c>
      <c r="B45" s="25" t="s">
        <v>383</v>
      </c>
      <c r="C45" s="25">
        <v>18</v>
      </c>
      <c r="D45" s="25" t="s">
        <v>384</v>
      </c>
      <c r="E45" s="25" t="s">
        <v>85</v>
      </c>
      <c r="F45" s="25">
        <v>10</v>
      </c>
      <c r="G45" s="25">
        <v>30</v>
      </c>
      <c r="H45" s="25">
        <v>6</v>
      </c>
      <c r="I45" s="25">
        <v>6</v>
      </c>
      <c r="J45" s="25">
        <v>-16</v>
      </c>
      <c r="K45" s="25">
        <v>150</v>
      </c>
      <c r="L45" s="25">
        <v>0</v>
      </c>
      <c r="M45" s="25" t="s">
        <v>385</v>
      </c>
      <c r="N45" s="25" t="s">
        <v>102</v>
      </c>
      <c r="O45" s="25" t="s">
        <v>386</v>
      </c>
      <c r="P45" s="25" t="s">
        <v>69</v>
      </c>
      <c r="R45" s="25" t="s">
        <v>121</v>
      </c>
      <c r="S45" s="25" t="s">
        <v>387</v>
      </c>
      <c r="T45" s="25" t="s">
        <v>91</v>
      </c>
      <c r="U45" s="25">
        <v>48.15</v>
      </c>
      <c r="V45" s="25">
        <v>30</v>
      </c>
      <c r="W45" s="25">
        <v>1.61</v>
      </c>
      <c r="X45" s="26">
        <v>45481</v>
      </c>
      <c r="Y45" s="25" t="s">
        <v>123</v>
      </c>
      <c r="Z45" s="25">
        <v>0</v>
      </c>
      <c r="AA45" s="25">
        <v>0</v>
      </c>
      <c r="AB45" s="25">
        <v>0</v>
      </c>
      <c r="AC45" s="25">
        <v>0</v>
      </c>
      <c r="AD45" s="25">
        <v>0</v>
      </c>
      <c r="AE45" s="25">
        <v>0</v>
      </c>
      <c r="AF45" s="25">
        <v>0</v>
      </c>
      <c r="AG45" s="25">
        <v>0</v>
      </c>
      <c r="AH45" s="25">
        <v>6</v>
      </c>
      <c r="AI45" s="25">
        <v>0</v>
      </c>
      <c r="AJ45" s="25">
        <v>11</v>
      </c>
      <c r="AO45" s="25" t="s">
        <v>105</v>
      </c>
      <c r="AP45" s="25">
        <v>0</v>
      </c>
      <c r="AQ45" s="25">
        <v>0</v>
      </c>
      <c r="AR45" s="25">
        <v>0</v>
      </c>
      <c r="AS45" s="25">
        <v>0</v>
      </c>
      <c r="AT45" s="25">
        <v>540</v>
      </c>
      <c r="AU45" s="25" t="s">
        <v>75</v>
      </c>
      <c r="AV45" s="25">
        <v>5.5</v>
      </c>
      <c r="AW45" s="25">
        <v>2.23064532068924</v>
      </c>
      <c r="AX45" s="25" t="b">
        <v>0</v>
      </c>
      <c r="AY45" s="25" t="s">
        <v>388</v>
      </c>
      <c r="AZ45" s="25" t="s">
        <v>389</v>
      </c>
      <c r="BA45" s="25">
        <v>0</v>
      </c>
      <c r="BB45" s="25">
        <v>0</v>
      </c>
      <c r="BC45" s="25" t="s">
        <v>390</v>
      </c>
      <c r="BD45" s="25" t="s">
        <v>391</v>
      </c>
      <c r="BE45" s="25" t="s">
        <v>392</v>
      </c>
      <c r="BF45" s="25" t="s">
        <v>392</v>
      </c>
      <c r="BJ45" s="25" t="s">
        <v>1253</v>
      </c>
    </row>
    <row r="46" spans="1:62" s="25" customFormat="1" x14ac:dyDescent="0.25"/>
    <row r="47" spans="1:62" s="27" customFormat="1" x14ac:dyDescent="0.25"/>
    <row r="48" spans="1:62" s="27" customFormat="1" hidden="1" x14ac:dyDescent="0.25">
      <c r="A48" s="27" t="s">
        <v>393</v>
      </c>
      <c r="B48" s="27" t="s">
        <v>394</v>
      </c>
      <c r="C48" s="27">
        <v>18</v>
      </c>
      <c r="D48" s="27" t="s">
        <v>395</v>
      </c>
      <c r="E48" s="27" t="s">
        <v>85</v>
      </c>
      <c r="F48" s="27">
        <v>30</v>
      </c>
      <c r="G48" s="27">
        <v>50</v>
      </c>
      <c r="H48" s="27">
        <v>10</v>
      </c>
      <c r="I48" s="27">
        <v>61</v>
      </c>
      <c r="J48" s="27">
        <v>46</v>
      </c>
      <c r="K48" s="27">
        <v>210</v>
      </c>
      <c r="L48" s="27">
        <v>25</v>
      </c>
      <c r="M48" s="27" t="s">
        <v>396</v>
      </c>
      <c r="N48" s="27" t="s">
        <v>102</v>
      </c>
      <c r="O48" s="27" t="s">
        <v>120</v>
      </c>
      <c r="P48" s="27" t="s">
        <v>69</v>
      </c>
      <c r="Q48" s="27">
        <v>3</v>
      </c>
      <c r="R48" s="27" t="s">
        <v>121</v>
      </c>
      <c r="S48" s="27" t="s">
        <v>397</v>
      </c>
      <c r="T48" s="27" t="s">
        <v>398</v>
      </c>
      <c r="U48" s="27">
        <v>89.98</v>
      </c>
      <c r="V48" s="27">
        <v>30</v>
      </c>
      <c r="W48" s="27">
        <v>3</v>
      </c>
      <c r="X48" s="28">
        <v>45257</v>
      </c>
      <c r="Y48" s="27" t="s">
        <v>92</v>
      </c>
      <c r="Z48" s="27">
        <v>20</v>
      </c>
      <c r="AA48" s="27">
        <v>11</v>
      </c>
      <c r="AB48" s="27">
        <v>10</v>
      </c>
      <c r="AC48" s="27">
        <v>10</v>
      </c>
      <c r="AD48" s="27">
        <v>0</v>
      </c>
      <c r="AE48" s="27">
        <v>0</v>
      </c>
      <c r="AF48" s="27">
        <v>0</v>
      </c>
      <c r="AG48" s="27">
        <v>0</v>
      </c>
      <c r="AO48" s="27" t="s">
        <v>399</v>
      </c>
      <c r="AP48" s="27">
        <v>0</v>
      </c>
      <c r="AQ48" s="27">
        <v>0</v>
      </c>
      <c r="AR48" s="27">
        <v>0</v>
      </c>
      <c r="AS48" s="27">
        <v>216</v>
      </c>
      <c r="AT48" s="27">
        <v>270</v>
      </c>
      <c r="AU48" s="27" t="s">
        <v>75</v>
      </c>
      <c r="AV48" s="27">
        <v>2</v>
      </c>
      <c r="AW48" s="27">
        <v>1.103453040266001</v>
      </c>
      <c r="AX48" s="27" t="b">
        <v>0</v>
      </c>
      <c r="AY48" s="27" t="s">
        <v>400</v>
      </c>
      <c r="AZ48" s="27" t="s">
        <v>401</v>
      </c>
      <c r="BA48" s="27">
        <v>0</v>
      </c>
      <c r="BB48" s="27">
        <v>0</v>
      </c>
      <c r="BC48" s="27" t="s">
        <v>402</v>
      </c>
      <c r="BD48" s="27" t="s">
        <v>403</v>
      </c>
      <c r="BE48" s="27" t="s">
        <v>404</v>
      </c>
      <c r="BF48" s="27" t="s">
        <v>404</v>
      </c>
      <c r="BI48" s="27" t="s">
        <v>405</v>
      </c>
      <c r="BJ48" s="27" t="s">
        <v>1252</v>
      </c>
    </row>
    <row r="49" spans="1:62" s="27" customFormat="1" hidden="1" x14ac:dyDescent="0.25">
      <c r="A49" s="27" t="s">
        <v>406</v>
      </c>
      <c r="B49" s="27" t="s">
        <v>407</v>
      </c>
      <c r="C49" s="27">
        <v>12</v>
      </c>
      <c r="D49" s="27" t="s">
        <v>408</v>
      </c>
      <c r="E49" s="27" t="s">
        <v>85</v>
      </c>
      <c r="F49" s="27">
        <v>26</v>
      </c>
      <c r="G49" s="27">
        <v>50</v>
      </c>
      <c r="H49" s="27">
        <v>170</v>
      </c>
      <c r="I49" s="27">
        <v>1279</v>
      </c>
      <c r="J49" s="27">
        <v>3092</v>
      </c>
      <c r="K49" s="27">
        <v>120</v>
      </c>
      <c r="L49" s="27">
        <v>-170</v>
      </c>
      <c r="M49" s="27" t="s">
        <v>409</v>
      </c>
      <c r="N49" s="27" t="s">
        <v>67</v>
      </c>
      <c r="O49" s="27" t="s">
        <v>289</v>
      </c>
      <c r="P49" s="27" t="s">
        <v>69</v>
      </c>
      <c r="R49" s="27" t="s">
        <v>89</v>
      </c>
      <c r="S49" s="27" t="s">
        <v>410</v>
      </c>
      <c r="T49" s="27" t="s">
        <v>411</v>
      </c>
      <c r="U49" s="27">
        <v>1253.23</v>
      </c>
      <c r="V49" s="27">
        <v>220</v>
      </c>
      <c r="W49" s="27">
        <v>5.7</v>
      </c>
      <c r="X49" s="28">
        <v>45538</v>
      </c>
      <c r="Y49" s="27" t="s">
        <v>92</v>
      </c>
      <c r="Z49" s="27">
        <v>32</v>
      </c>
      <c r="AA49" s="27">
        <v>206</v>
      </c>
      <c r="AB49" s="27">
        <v>136</v>
      </c>
      <c r="AC49" s="27">
        <v>170</v>
      </c>
      <c r="AD49" s="27">
        <v>1056</v>
      </c>
      <c r="AE49" s="27">
        <v>1683</v>
      </c>
      <c r="AF49" s="27">
        <v>0</v>
      </c>
      <c r="AG49" s="27">
        <v>31</v>
      </c>
      <c r="AH49" s="27">
        <v>11</v>
      </c>
      <c r="AI49" s="27">
        <v>0</v>
      </c>
      <c r="AJ49" s="27">
        <v>0</v>
      </c>
      <c r="AK49" s="27">
        <v>2</v>
      </c>
      <c r="AL49" s="27">
        <v>2</v>
      </c>
      <c r="AM49" s="27">
        <v>0</v>
      </c>
      <c r="AO49" s="27" t="s">
        <v>412</v>
      </c>
      <c r="AP49" s="27">
        <v>0</v>
      </c>
      <c r="AQ49" s="27">
        <v>20</v>
      </c>
      <c r="AR49" s="27">
        <v>0</v>
      </c>
      <c r="AS49" s="27">
        <v>0</v>
      </c>
      <c r="AT49" s="27">
        <v>181764</v>
      </c>
      <c r="AU49" s="27" t="s">
        <v>75</v>
      </c>
      <c r="AV49" s="27">
        <v>1.333333333333333</v>
      </c>
      <c r="AW49" s="27">
        <v>1.8383030520945971</v>
      </c>
      <c r="AX49" s="27" t="b">
        <v>0</v>
      </c>
      <c r="AY49" s="27" t="s">
        <v>136</v>
      </c>
      <c r="AZ49" s="27" t="s">
        <v>137</v>
      </c>
      <c r="BA49" s="27">
        <v>65</v>
      </c>
      <c r="BB49" s="27">
        <v>0</v>
      </c>
      <c r="BC49" s="27" t="s">
        <v>413</v>
      </c>
      <c r="BD49" s="27" t="s">
        <v>414</v>
      </c>
      <c r="BE49" s="27" t="s">
        <v>415</v>
      </c>
      <c r="BF49" s="27" t="s">
        <v>416</v>
      </c>
      <c r="BJ49" s="27" t="s">
        <v>1252</v>
      </c>
    </row>
    <row r="51" spans="1:62" s="27" customFormat="1" hidden="1" x14ac:dyDescent="0.25">
      <c r="A51" s="27" t="s">
        <v>418</v>
      </c>
      <c r="B51" s="27" t="s">
        <v>143</v>
      </c>
      <c r="C51" s="27">
        <v>22</v>
      </c>
      <c r="D51" s="27" t="s">
        <v>419</v>
      </c>
      <c r="E51" s="27" t="s">
        <v>85</v>
      </c>
      <c r="F51" s="27">
        <v>2</v>
      </c>
      <c r="G51" s="27">
        <v>2</v>
      </c>
      <c r="H51" s="27">
        <v>1</v>
      </c>
      <c r="I51" s="27">
        <v>2</v>
      </c>
      <c r="J51" s="27">
        <v>84</v>
      </c>
      <c r="K51" s="27">
        <v>150</v>
      </c>
      <c r="L51" s="27">
        <v>1</v>
      </c>
      <c r="M51" s="27" t="s">
        <v>420</v>
      </c>
      <c r="N51" s="27" t="s">
        <v>102</v>
      </c>
      <c r="O51" s="27" t="s">
        <v>421</v>
      </c>
      <c r="P51" s="27" t="s">
        <v>69</v>
      </c>
      <c r="Q51" s="27">
        <v>2</v>
      </c>
      <c r="R51" s="27" t="s">
        <v>121</v>
      </c>
      <c r="S51" s="27" t="s">
        <v>71</v>
      </c>
      <c r="T51" s="27" t="s">
        <v>91</v>
      </c>
      <c r="U51" s="27">
        <v>168.62</v>
      </c>
      <c r="V51" s="27">
        <v>1</v>
      </c>
      <c r="W51" s="27">
        <v>168.62</v>
      </c>
      <c r="X51" s="28">
        <v>44624</v>
      </c>
      <c r="Y51" s="27" t="s">
        <v>123</v>
      </c>
      <c r="Z51" s="27">
        <v>1</v>
      </c>
      <c r="AA51" s="27">
        <v>0</v>
      </c>
      <c r="AB51" s="27">
        <v>0</v>
      </c>
      <c r="AC51" s="27">
        <v>0</v>
      </c>
      <c r="AD51" s="27">
        <v>0</v>
      </c>
      <c r="AE51" s="27">
        <v>0</v>
      </c>
      <c r="AF51" s="27">
        <v>0</v>
      </c>
      <c r="AG51" s="27">
        <v>1</v>
      </c>
      <c r="AH51" s="27">
        <v>0</v>
      </c>
      <c r="AI51" s="27">
        <v>0</v>
      </c>
      <c r="AJ51" s="27">
        <v>0</v>
      </c>
      <c r="AO51" s="27" t="s">
        <v>422</v>
      </c>
      <c r="AP51" s="27">
        <v>0</v>
      </c>
      <c r="AQ51" s="27">
        <v>0</v>
      </c>
      <c r="AR51" s="27">
        <v>0</v>
      </c>
      <c r="AS51" s="27">
        <v>2</v>
      </c>
      <c r="AT51" s="27">
        <v>215</v>
      </c>
      <c r="AU51" s="27" t="s">
        <v>75</v>
      </c>
      <c r="AV51" s="27">
        <v>5.5</v>
      </c>
      <c r="AW51" s="27">
        <v>2.1213203435596419</v>
      </c>
      <c r="AX51" s="27" t="b">
        <v>0</v>
      </c>
      <c r="AY51" s="27" t="s">
        <v>423</v>
      </c>
      <c r="AZ51" s="27" t="s">
        <v>424</v>
      </c>
      <c r="BA51" s="27">
        <v>0</v>
      </c>
      <c r="BB51" s="27">
        <v>0</v>
      </c>
      <c r="BC51" s="27" t="s">
        <v>425</v>
      </c>
      <c r="BD51" s="27" t="s">
        <v>426</v>
      </c>
      <c r="BE51" s="27" t="s">
        <v>427</v>
      </c>
      <c r="BF51" s="27" t="s">
        <v>427</v>
      </c>
      <c r="BI51" s="27" t="s">
        <v>428</v>
      </c>
      <c r="BJ51" s="27" t="s">
        <v>1252</v>
      </c>
    </row>
    <row r="52" spans="1:62" s="27" customFormat="1" x14ac:dyDescent="0.25"/>
    <row r="53" spans="1:62" s="27" customFormat="1" x14ac:dyDescent="0.25">
      <c r="X53" s="28"/>
    </row>
    <row r="54" spans="1:62" s="27" customFormat="1" hidden="1" x14ac:dyDescent="0.25">
      <c r="A54" s="27" t="s">
        <v>430</v>
      </c>
      <c r="B54" s="27" t="s">
        <v>429</v>
      </c>
      <c r="C54" s="27">
        <v>1</v>
      </c>
      <c r="D54" s="27" t="s">
        <v>431</v>
      </c>
      <c r="E54" s="27" t="s">
        <v>127</v>
      </c>
      <c r="F54" s="27">
        <v>2</v>
      </c>
      <c r="G54" s="27">
        <v>0</v>
      </c>
      <c r="H54" s="27">
        <v>1</v>
      </c>
      <c r="I54" s="27">
        <v>2</v>
      </c>
      <c r="J54" s="27">
        <v>2133</v>
      </c>
      <c r="K54" s="27">
        <v>150</v>
      </c>
      <c r="L54" s="27">
        <v>1</v>
      </c>
      <c r="M54" s="27" t="s">
        <v>432</v>
      </c>
      <c r="N54" s="27" t="s">
        <v>102</v>
      </c>
      <c r="O54" s="27" t="s">
        <v>289</v>
      </c>
      <c r="P54" s="27" t="s">
        <v>69</v>
      </c>
      <c r="R54" s="27" t="s">
        <v>121</v>
      </c>
      <c r="S54" s="27" t="s">
        <v>433</v>
      </c>
      <c r="T54" s="27" t="s">
        <v>434</v>
      </c>
      <c r="U54" s="27">
        <v>1422.41</v>
      </c>
      <c r="V54" s="27">
        <v>1</v>
      </c>
      <c r="W54" s="27">
        <v>1422.41</v>
      </c>
      <c r="X54" s="28">
        <v>45510</v>
      </c>
      <c r="Y54" s="27" t="s">
        <v>123</v>
      </c>
      <c r="Z54" s="27">
        <v>1</v>
      </c>
      <c r="AA54" s="27">
        <v>1</v>
      </c>
      <c r="AB54" s="27">
        <v>0</v>
      </c>
      <c r="AC54" s="27">
        <v>0</v>
      </c>
      <c r="AD54" s="27">
        <v>0</v>
      </c>
      <c r="AE54" s="27">
        <v>1</v>
      </c>
      <c r="AF54" s="27">
        <v>0</v>
      </c>
      <c r="AG54" s="27">
        <v>1</v>
      </c>
      <c r="AH54" s="27">
        <v>1</v>
      </c>
      <c r="AI54" s="27">
        <v>2</v>
      </c>
      <c r="AJ54" s="27">
        <v>0</v>
      </c>
      <c r="AO54" s="27" t="s">
        <v>435</v>
      </c>
      <c r="AP54" s="27">
        <v>0</v>
      </c>
      <c r="AQ54" s="27">
        <v>0</v>
      </c>
      <c r="AR54" s="27">
        <v>0</v>
      </c>
      <c r="AS54" s="27">
        <v>0</v>
      </c>
      <c r="AT54" s="27">
        <v>2921</v>
      </c>
      <c r="AU54" s="27" t="s">
        <v>75</v>
      </c>
      <c r="AV54" s="27">
        <v>1.833333333333333</v>
      </c>
      <c r="AW54" s="27">
        <v>1.010152544552211</v>
      </c>
      <c r="AX54" s="27" t="b">
        <v>0</v>
      </c>
      <c r="AY54" s="27" t="s">
        <v>272</v>
      </c>
      <c r="AZ54" s="27" t="s">
        <v>273</v>
      </c>
      <c r="BA54" s="27">
        <v>0</v>
      </c>
      <c r="BB54" s="27">
        <v>0</v>
      </c>
      <c r="BC54" s="27" t="s">
        <v>436</v>
      </c>
      <c r="BD54" s="27" t="s">
        <v>437</v>
      </c>
      <c r="BG54" s="27" t="s">
        <v>438</v>
      </c>
      <c r="BH54" s="27" t="s">
        <v>439</v>
      </c>
      <c r="BJ54" s="27" t="s">
        <v>1252</v>
      </c>
    </row>
    <row r="55" spans="1:62" s="27" customFormat="1" hidden="1" x14ac:dyDescent="0.25">
      <c r="A55" s="27" t="s">
        <v>440</v>
      </c>
      <c r="B55" s="27" t="s">
        <v>223</v>
      </c>
      <c r="C55" s="27">
        <v>14</v>
      </c>
      <c r="D55" s="27" t="s">
        <v>441</v>
      </c>
      <c r="E55" s="27" t="s">
        <v>85</v>
      </c>
      <c r="F55" s="27">
        <v>2</v>
      </c>
      <c r="G55" s="27">
        <v>5</v>
      </c>
      <c r="J55" s="27">
        <v>0</v>
      </c>
      <c r="K55" s="27">
        <v>90</v>
      </c>
      <c r="L55" s="27">
        <v>-2</v>
      </c>
      <c r="M55" s="27" t="s">
        <v>442</v>
      </c>
      <c r="N55" s="27" t="s">
        <v>102</v>
      </c>
      <c r="O55" s="27" t="s">
        <v>443</v>
      </c>
      <c r="P55" s="27" t="s">
        <v>226</v>
      </c>
      <c r="Q55" s="27">
        <v>2</v>
      </c>
      <c r="R55" s="27" t="s">
        <v>121</v>
      </c>
      <c r="S55" s="27" t="s">
        <v>444</v>
      </c>
      <c r="U55" s="27">
        <v>2100</v>
      </c>
      <c r="V55" s="27">
        <v>7</v>
      </c>
      <c r="W55" s="27">
        <v>300</v>
      </c>
      <c r="X55" s="28">
        <v>44967</v>
      </c>
      <c r="Z55" s="27">
        <v>0</v>
      </c>
      <c r="AA55" s="27">
        <v>0</v>
      </c>
      <c r="AB55" s="27">
        <v>0</v>
      </c>
      <c r="AC55" s="27">
        <v>0</v>
      </c>
      <c r="AD55" s="27">
        <v>0</v>
      </c>
      <c r="AE55" s="27">
        <v>0</v>
      </c>
      <c r="AF55" s="27">
        <v>0</v>
      </c>
      <c r="AG55" s="27">
        <v>0</v>
      </c>
      <c r="AH55" s="27">
        <v>0</v>
      </c>
      <c r="AI55" s="27">
        <v>0</v>
      </c>
      <c r="AJ55" s="27">
        <v>2</v>
      </c>
      <c r="AK55" s="27">
        <v>0</v>
      </c>
      <c r="AL55" s="27">
        <v>0</v>
      </c>
      <c r="AM55" s="27">
        <v>1</v>
      </c>
      <c r="AN55" s="27">
        <v>0</v>
      </c>
      <c r="AO55" s="27" t="s">
        <v>381</v>
      </c>
      <c r="AP55" s="27">
        <v>0</v>
      </c>
      <c r="AQ55" s="27">
        <v>0</v>
      </c>
      <c r="AR55" s="27">
        <v>0</v>
      </c>
      <c r="AS55" s="27">
        <v>4</v>
      </c>
      <c r="AT55" s="27">
        <v>26507</v>
      </c>
      <c r="AU55" s="27" t="s">
        <v>75</v>
      </c>
      <c r="AV55" s="27">
        <v>12</v>
      </c>
      <c r="AW55" s="27">
        <v>3.3166247903553998</v>
      </c>
      <c r="AX55" s="27" t="b">
        <v>0</v>
      </c>
      <c r="AY55" s="27" t="s">
        <v>445</v>
      </c>
      <c r="AZ55" s="27" t="s">
        <v>446</v>
      </c>
      <c r="BA55" s="27">
        <v>0</v>
      </c>
      <c r="BB55" s="27">
        <v>0</v>
      </c>
      <c r="BC55" s="27" t="s">
        <v>447</v>
      </c>
      <c r="BD55" s="27" t="s">
        <v>448</v>
      </c>
      <c r="BE55" s="27" t="s">
        <v>449</v>
      </c>
      <c r="BF55" s="27" t="s">
        <v>449</v>
      </c>
      <c r="BI55" s="27" t="s">
        <v>450</v>
      </c>
      <c r="BJ55" s="27" t="s">
        <v>1252</v>
      </c>
    </row>
    <row r="56" spans="1:62" s="27" customFormat="1" hidden="1" x14ac:dyDescent="0.25">
      <c r="A56" s="27" t="s">
        <v>451</v>
      </c>
      <c r="B56" s="27" t="s">
        <v>452</v>
      </c>
      <c r="C56" s="27">
        <v>1</v>
      </c>
      <c r="D56" s="27" t="s">
        <v>453</v>
      </c>
      <c r="E56" s="27" t="s">
        <v>85</v>
      </c>
      <c r="F56" s="27">
        <v>150</v>
      </c>
      <c r="G56" s="27">
        <v>300</v>
      </c>
      <c r="H56" s="27">
        <v>80</v>
      </c>
      <c r="I56" s="27">
        <v>206</v>
      </c>
      <c r="J56" s="27">
        <v>-15</v>
      </c>
      <c r="K56" s="27">
        <v>240</v>
      </c>
      <c r="L56" s="27">
        <v>94</v>
      </c>
      <c r="M56" s="27" t="s">
        <v>454</v>
      </c>
      <c r="N56" s="27" t="s">
        <v>67</v>
      </c>
      <c r="O56" s="27" t="s">
        <v>455</v>
      </c>
      <c r="P56" s="27" t="s">
        <v>69</v>
      </c>
      <c r="R56" s="27" t="s">
        <v>70</v>
      </c>
      <c r="S56" s="27" t="s">
        <v>71</v>
      </c>
      <c r="T56" s="27" t="s">
        <v>456</v>
      </c>
      <c r="U56" s="27">
        <v>271.93</v>
      </c>
      <c r="V56" s="27">
        <v>210</v>
      </c>
      <c r="W56" s="27">
        <v>1.29</v>
      </c>
      <c r="X56" s="28">
        <v>45278</v>
      </c>
      <c r="Y56" s="27" t="s">
        <v>92</v>
      </c>
      <c r="Z56" s="27">
        <v>210</v>
      </c>
      <c r="AA56" s="27">
        <v>80</v>
      </c>
      <c r="AB56" s="27">
        <v>6</v>
      </c>
      <c r="AC56" s="27">
        <v>80</v>
      </c>
      <c r="AD56" s="27">
        <v>78</v>
      </c>
      <c r="AE56" s="27">
        <v>100</v>
      </c>
      <c r="AF56" s="27">
        <v>12</v>
      </c>
      <c r="AO56" s="27" t="s">
        <v>457</v>
      </c>
      <c r="AP56" s="27">
        <v>0</v>
      </c>
      <c r="AQ56" s="27">
        <v>0</v>
      </c>
      <c r="AR56" s="27">
        <v>0</v>
      </c>
      <c r="AS56" s="27">
        <v>0</v>
      </c>
      <c r="AT56" s="27">
        <v>13524</v>
      </c>
      <c r="AU56" s="27" t="s">
        <v>75</v>
      </c>
      <c r="AV56" s="27">
        <v>1</v>
      </c>
      <c r="AW56" s="27">
        <v>0.77374670538229107</v>
      </c>
      <c r="AX56" s="27" t="b">
        <v>0</v>
      </c>
      <c r="AY56" s="27" t="s">
        <v>388</v>
      </c>
      <c r="AZ56" s="27" t="s">
        <v>389</v>
      </c>
      <c r="BA56" s="27">
        <v>0</v>
      </c>
      <c r="BB56" s="27">
        <v>0</v>
      </c>
      <c r="BC56" s="27" t="s">
        <v>458</v>
      </c>
      <c r="BD56" s="27" t="s">
        <v>459</v>
      </c>
      <c r="BE56" s="27" t="s">
        <v>460</v>
      </c>
      <c r="BF56" s="27" t="s">
        <v>460</v>
      </c>
      <c r="BJ56" s="27" t="s">
        <v>1252</v>
      </c>
    </row>
    <row r="57" spans="1:62" s="27" customFormat="1" hidden="1" x14ac:dyDescent="0.25">
      <c r="A57" s="27" t="s">
        <v>461</v>
      </c>
      <c r="B57" s="27" t="s">
        <v>462</v>
      </c>
      <c r="C57" s="27">
        <v>18</v>
      </c>
      <c r="D57" s="27" t="s">
        <v>463</v>
      </c>
      <c r="E57" s="27" t="s">
        <v>85</v>
      </c>
      <c r="F57" s="27">
        <v>2</v>
      </c>
      <c r="G57" s="27">
        <v>5</v>
      </c>
      <c r="H57" s="27">
        <v>2</v>
      </c>
      <c r="I57" s="27">
        <v>7</v>
      </c>
      <c r="J57" s="27">
        <v>70</v>
      </c>
      <c r="K57" s="27">
        <v>180</v>
      </c>
      <c r="L57" s="27">
        <v>0</v>
      </c>
      <c r="M57" s="27" t="s">
        <v>464</v>
      </c>
      <c r="N57" s="27" t="s">
        <v>102</v>
      </c>
      <c r="O57" s="27" t="s">
        <v>122</v>
      </c>
      <c r="P57" s="27" t="s">
        <v>69</v>
      </c>
      <c r="R57" s="27" t="s">
        <v>89</v>
      </c>
      <c r="S57" s="27" t="s">
        <v>465</v>
      </c>
      <c r="T57" s="27" t="s">
        <v>466</v>
      </c>
      <c r="U57" s="27">
        <v>351.85</v>
      </c>
      <c r="V57" s="27">
        <v>5</v>
      </c>
      <c r="W57" s="27">
        <v>70.37</v>
      </c>
      <c r="X57" s="28">
        <v>45439</v>
      </c>
      <c r="Y57" s="27" t="s">
        <v>92</v>
      </c>
      <c r="Z57" s="27">
        <v>5</v>
      </c>
      <c r="AA57" s="27">
        <v>2</v>
      </c>
      <c r="AB57" s="27">
        <v>2</v>
      </c>
      <c r="AC57" s="27">
        <v>1</v>
      </c>
      <c r="AD57" s="27">
        <v>1</v>
      </c>
      <c r="AE57" s="27">
        <v>3</v>
      </c>
      <c r="AF57" s="27">
        <v>0</v>
      </c>
      <c r="AG57" s="27">
        <v>1</v>
      </c>
      <c r="AH57" s="27">
        <v>0</v>
      </c>
      <c r="AO57" s="27" t="s">
        <v>467</v>
      </c>
      <c r="AP57" s="27">
        <v>0</v>
      </c>
      <c r="AQ57" s="27">
        <v>0</v>
      </c>
      <c r="AR57" s="27">
        <v>0</v>
      </c>
      <c r="AS57" s="27">
        <v>40</v>
      </c>
      <c r="AT57" s="27">
        <v>1065</v>
      </c>
      <c r="AU57" s="27" t="s">
        <v>75</v>
      </c>
      <c r="AV57" s="27">
        <v>1.285714285714286</v>
      </c>
      <c r="AW57" s="27">
        <v>0.89442719099991586</v>
      </c>
      <c r="AX57" s="27" t="b">
        <v>0</v>
      </c>
      <c r="AY57" s="27" t="s">
        <v>468</v>
      </c>
      <c r="AZ57" s="27" t="s">
        <v>469</v>
      </c>
      <c r="BA57" s="27">
        <v>0</v>
      </c>
      <c r="BB57" s="27">
        <v>0</v>
      </c>
      <c r="BC57" s="27" t="s">
        <v>470</v>
      </c>
      <c r="BD57" s="27" t="s">
        <v>471</v>
      </c>
      <c r="BG57" s="27" t="s">
        <v>472</v>
      </c>
      <c r="BH57" s="27" t="s">
        <v>473</v>
      </c>
      <c r="BI57" s="27" t="s">
        <v>474</v>
      </c>
      <c r="BJ57" s="27" t="s">
        <v>1252</v>
      </c>
    </row>
    <row r="58" spans="1:62" s="27" customFormat="1" hidden="1" x14ac:dyDescent="0.25">
      <c r="A58" s="27" t="s">
        <v>475</v>
      </c>
      <c r="B58" s="27" t="s">
        <v>476</v>
      </c>
      <c r="C58" s="27">
        <v>8</v>
      </c>
      <c r="D58" s="27" t="s">
        <v>477</v>
      </c>
      <c r="E58" s="27" t="s">
        <v>85</v>
      </c>
      <c r="F58" s="27">
        <v>40</v>
      </c>
      <c r="G58" s="27">
        <v>100</v>
      </c>
      <c r="H58" s="27">
        <v>33</v>
      </c>
      <c r="I58" s="27">
        <v>127</v>
      </c>
      <c r="J58" s="27">
        <v>339</v>
      </c>
      <c r="K58" s="27">
        <v>150</v>
      </c>
      <c r="L58" s="27">
        <v>36</v>
      </c>
      <c r="M58" s="27" t="s">
        <v>478</v>
      </c>
      <c r="N58" s="27" t="s">
        <v>67</v>
      </c>
      <c r="O58" s="27" t="s">
        <v>479</v>
      </c>
      <c r="P58" s="27" t="s">
        <v>69</v>
      </c>
      <c r="R58" s="27" t="s">
        <v>89</v>
      </c>
      <c r="S58" s="27" t="s">
        <v>480</v>
      </c>
      <c r="T58" s="27" t="s">
        <v>481</v>
      </c>
      <c r="U58" s="27">
        <v>1278.24</v>
      </c>
      <c r="V58" s="27">
        <v>64</v>
      </c>
      <c r="W58" s="27">
        <v>19.97</v>
      </c>
      <c r="X58" s="28">
        <v>45321</v>
      </c>
      <c r="Y58" s="27" t="s">
        <v>161</v>
      </c>
      <c r="Z58" s="27">
        <v>35</v>
      </c>
      <c r="AA58" s="27">
        <v>0</v>
      </c>
      <c r="AB58" s="27">
        <v>104</v>
      </c>
      <c r="AC58" s="27">
        <v>89</v>
      </c>
      <c r="AD58" s="27">
        <v>15</v>
      </c>
      <c r="AE58" s="27">
        <v>20</v>
      </c>
      <c r="AF58" s="27">
        <v>18</v>
      </c>
      <c r="AG58" s="27">
        <v>18</v>
      </c>
      <c r="AH58" s="27">
        <v>33</v>
      </c>
      <c r="AI58" s="27">
        <v>19</v>
      </c>
      <c r="AJ58" s="27">
        <v>5</v>
      </c>
      <c r="AO58" s="27" t="s">
        <v>482</v>
      </c>
      <c r="AP58" s="27">
        <v>0</v>
      </c>
      <c r="AQ58" s="27">
        <v>0</v>
      </c>
      <c r="AR58" s="27">
        <v>0</v>
      </c>
      <c r="AS58" s="27">
        <v>0</v>
      </c>
      <c r="AT58" s="27">
        <v>196480</v>
      </c>
      <c r="AU58" s="27" t="s">
        <v>75</v>
      </c>
      <c r="AV58" s="27">
        <v>1.1000000000000001</v>
      </c>
      <c r="AW58" s="27">
        <v>0.98544674627102202</v>
      </c>
      <c r="AX58" s="27" t="b">
        <v>0</v>
      </c>
      <c r="AY58" s="27" t="s">
        <v>136</v>
      </c>
      <c r="AZ58" s="27" t="s">
        <v>137</v>
      </c>
      <c r="BA58" s="27">
        <v>0</v>
      </c>
      <c r="BB58" s="27">
        <v>0</v>
      </c>
      <c r="BC58" s="27" t="s">
        <v>483</v>
      </c>
      <c r="BD58" s="27" t="s">
        <v>484</v>
      </c>
      <c r="BE58" s="27" t="s">
        <v>485</v>
      </c>
      <c r="BF58" s="27" t="s">
        <v>485</v>
      </c>
      <c r="BJ58" s="27" t="s">
        <v>1252</v>
      </c>
    </row>
    <row r="59" spans="1:62" s="25" customFormat="1" hidden="1" x14ac:dyDescent="0.25">
      <c r="A59" s="25" t="s">
        <v>486</v>
      </c>
      <c r="B59" s="25" t="s">
        <v>126</v>
      </c>
      <c r="C59" s="25">
        <v>384</v>
      </c>
      <c r="D59" s="25" t="s">
        <v>487</v>
      </c>
      <c r="E59" s="25" t="s">
        <v>85</v>
      </c>
      <c r="F59" s="25">
        <v>6</v>
      </c>
      <c r="G59" s="25">
        <v>10</v>
      </c>
      <c r="J59" s="25">
        <v>0</v>
      </c>
      <c r="K59" s="25">
        <v>180</v>
      </c>
      <c r="L59" s="25">
        <v>3</v>
      </c>
      <c r="M59" s="25" t="s">
        <v>488</v>
      </c>
      <c r="N59" s="25" t="s">
        <v>67</v>
      </c>
      <c r="O59" s="25" t="s">
        <v>417</v>
      </c>
      <c r="P59" s="25" t="s">
        <v>128</v>
      </c>
      <c r="R59" s="25" t="s">
        <v>121</v>
      </c>
      <c r="S59" s="25" t="s">
        <v>71</v>
      </c>
      <c r="U59" s="25">
        <v>195.46</v>
      </c>
      <c r="V59" s="25">
        <v>7</v>
      </c>
      <c r="W59" s="25">
        <v>27.92</v>
      </c>
      <c r="X59" s="26">
        <v>45036</v>
      </c>
      <c r="Z59" s="25">
        <v>0</v>
      </c>
      <c r="AA59" s="25">
        <v>0</v>
      </c>
      <c r="AB59" s="25">
        <v>0</v>
      </c>
      <c r="AC59" s="25">
        <v>3</v>
      </c>
      <c r="AD59" s="25">
        <v>0</v>
      </c>
      <c r="AE59" s="25">
        <v>0</v>
      </c>
      <c r="AF59" s="25">
        <v>0</v>
      </c>
      <c r="AG59" s="25">
        <v>0</v>
      </c>
      <c r="AH59" s="25">
        <v>0</v>
      </c>
      <c r="AO59" s="25" t="s">
        <v>489</v>
      </c>
      <c r="AP59" s="25">
        <v>0</v>
      </c>
      <c r="AQ59" s="25">
        <v>0</v>
      </c>
      <c r="AR59" s="25">
        <v>0</v>
      </c>
      <c r="AS59" s="25">
        <v>0</v>
      </c>
      <c r="AT59" s="25">
        <v>917</v>
      </c>
      <c r="AU59" s="25" t="s">
        <v>75</v>
      </c>
      <c r="AV59" s="25">
        <v>9</v>
      </c>
      <c r="AW59" s="25">
        <v>2.8284271247461898</v>
      </c>
      <c r="AX59" s="25" t="b">
        <v>0</v>
      </c>
      <c r="AY59" s="25" t="s">
        <v>490</v>
      </c>
      <c r="AZ59" s="25" t="s">
        <v>491</v>
      </c>
      <c r="BA59" s="25">
        <v>0</v>
      </c>
      <c r="BB59" s="25">
        <v>0</v>
      </c>
      <c r="BC59" s="25" t="s">
        <v>492</v>
      </c>
      <c r="BD59" s="25" t="s">
        <v>493</v>
      </c>
      <c r="BJ59" s="25" t="s">
        <v>1253</v>
      </c>
    </row>
    <row r="60" spans="1:62" s="27" customFormat="1" x14ac:dyDescent="0.25"/>
    <row r="61" spans="1:62" s="25" customFormat="1" hidden="1" x14ac:dyDescent="0.25">
      <c r="A61" s="25" t="s">
        <v>494</v>
      </c>
      <c r="B61" s="25" t="s">
        <v>495</v>
      </c>
      <c r="C61" s="25">
        <v>50</v>
      </c>
      <c r="D61" s="25" t="s">
        <v>496</v>
      </c>
      <c r="E61" s="25" t="s">
        <v>85</v>
      </c>
      <c r="F61" s="25">
        <v>26</v>
      </c>
      <c r="G61" s="25">
        <v>50</v>
      </c>
      <c r="H61" s="25">
        <v>11</v>
      </c>
      <c r="I61" s="25">
        <v>26</v>
      </c>
      <c r="J61" s="25">
        <v>-131</v>
      </c>
      <c r="K61" s="25">
        <v>270</v>
      </c>
      <c r="L61" s="25">
        <v>21</v>
      </c>
      <c r="M61" s="25" t="s">
        <v>497</v>
      </c>
      <c r="N61" s="25" t="s">
        <v>67</v>
      </c>
      <c r="O61" s="25" t="s">
        <v>236</v>
      </c>
      <c r="P61" s="25" t="s">
        <v>69</v>
      </c>
      <c r="R61" s="25" t="s">
        <v>89</v>
      </c>
      <c r="S61" s="25" t="s">
        <v>71</v>
      </c>
      <c r="T61" s="25" t="s">
        <v>498</v>
      </c>
      <c r="U61" s="25">
        <v>875.9</v>
      </c>
      <c r="V61" s="25">
        <v>30</v>
      </c>
      <c r="W61" s="25">
        <v>29.2</v>
      </c>
      <c r="X61" s="26">
        <v>44789</v>
      </c>
      <c r="Y61" s="25" t="s">
        <v>161</v>
      </c>
      <c r="Z61" s="25">
        <v>5</v>
      </c>
      <c r="AA61" s="25">
        <v>5</v>
      </c>
      <c r="AB61" s="25">
        <v>11</v>
      </c>
      <c r="AC61" s="25">
        <v>22</v>
      </c>
      <c r="AD61" s="25">
        <v>4</v>
      </c>
      <c r="AE61" s="25">
        <v>42</v>
      </c>
      <c r="AO61" s="25" t="s">
        <v>499</v>
      </c>
      <c r="AP61" s="25">
        <v>0</v>
      </c>
      <c r="AQ61" s="25">
        <v>0</v>
      </c>
      <c r="AR61" s="25">
        <v>0</v>
      </c>
      <c r="AS61" s="25">
        <v>0</v>
      </c>
      <c r="AT61" s="25">
        <v>26006</v>
      </c>
      <c r="AU61" s="25" t="s">
        <v>75</v>
      </c>
      <c r="AV61" s="25">
        <v>1</v>
      </c>
      <c r="AW61" s="25">
        <v>0.91894726879066668</v>
      </c>
      <c r="AX61" s="25" t="b">
        <v>0</v>
      </c>
      <c r="AY61" s="25" t="s">
        <v>112</v>
      </c>
      <c r="AZ61" s="25" t="s">
        <v>113</v>
      </c>
      <c r="BA61" s="25">
        <v>0</v>
      </c>
      <c r="BB61" s="25">
        <v>0</v>
      </c>
      <c r="BC61" s="25" t="s">
        <v>500</v>
      </c>
      <c r="BD61" s="25" t="s">
        <v>501</v>
      </c>
      <c r="BE61" s="25" t="s">
        <v>502</v>
      </c>
      <c r="BF61" s="25" t="s">
        <v>502</v>
      </c>
      <c r="BJ61" s="25" t="s">
        <v>1253</v>
      </c>
    </row>
    <row r="62" spans="1:62" s="27" customFormat="1" hidden="1" x14ac:dyDescent="0.25">
      <c r="A62" s="27" t="s">
        <v>503</v>
      </c>
      <c r="B62" s="27" t="s">
        <v>504</v>
      </c>
      <c r="C62" s="27">
        <v>1</v>
      </c>
      <c r="D62" s="27" t="s">
        <v>505</v>
      </c>
      <c r="E62" s="27" t="s">
        <v>85</v>
      </c>
      <c r="F62" s="27">
        <v>3</v>
      </c>
      <c r="G62" s="27">
        <v>5</v>
      </c>
      <c r="H62" s="27">
        <v>2</v>
      </c>
      <c r="I62" s="27">
        <v>3</v>
      </c>
      <c r="J62" s="27">
        <v>-370</v>
      </c>
      <c r="K62" s="27">
        <v>180</v>
      </c>
      <c r="L62" s="27">
        <v>1</v>
      </c>
      <c r="M62" s="27" t="s">
        <v>506</v>
      </c>
      <c r="N62" s="27" t="s">
        <v>102</v>
      </c>
      <c r="O62" s="27" t="s">
        <v>289</v>
      </c>
      <c r="P62" s="27" t="s">
        <v>69</v>
      </c>
      <c r="R62" s="27" t="s">
        <v>121</v>
      </c>
      <c r="S62" s="27" t="s">
        <v>507</v>
      </c>
      <c r="T62" s="27" t="s">
        <v>91</v>
      </c>
      <c r="U62" s="27">
        <v>2964.2</v>
      </c>
      <c r="V62" s="27">
        <v>4</v>
      </c>
      <c r="W62" s="27">
        <v>741.05</v>
      </c>
      <c r="X62" s="28">
        <v>45510</v>
      </c>
      <c r="Y62" s="27" t="s">
        <v>123</v>
      </c>
      <c r="Z62" s="27">
        <v>2</v>
      </c>
      <c r="AA62" s="27">
        <v>0</v>
      </c>
      <c r="AB62" s="27">
        <v>0</v>
      </c>
      <c r="AC62" s="27">
        <v>0</v>
      </c>
      <c r="AD62" s="27">
        <v>1</v>
      </c>
      <c r="AE62" s="27">
        <v>0</v>
      </c>
      <c r="AF62" s="27">
        <v>1</v>
      </c>
      <c r="AG62" s="27">
        <v>2</v>
      </c>
      <c r="AH62" s="27">
        <v>1</v>
      </c>
      <c r="AO62" s="27" t="s">
        <v>435</v>
      </c>
      <c r="AP62" s="27">
        <v>0</v>
      </c>
      <c r="AQ62" s="27">
        <v>0</v>
      </c>
      <c r="AR62" s="27">
        <v>0</v>
      </c>
      <c r="AS62" s="27">
        <v>0</v>
      </c>
      <c r="AT62" s="27">
        <v>20412</v>
      </c>
      <c r="AU62" s="27" t="s">
        <v>75</v>
      </c>
      <c r="AV62" s="27">
        <v>1.8</v>
      </c>
      <c r="AW62" s="27">
        <v>1.010152544552211</v>
      </c>
      <c r="AX62" s="27" t="b">
        <v>0</v>
      </c>
      <c r="AY62" s="27" t="s">
        <v>272</v>
      </c>
      <c r="AZ62" s="27" t="s">
        <v>273</v>
      </c>
      <c r="BA62" s="27">
        <v>0</v>
      </c>
      <c r="BB62" s="27">
        <v>0</v>
      </c>
      <c r="BC62" s="27" t="s">
        <v>508</v>
      </c>
      <c r="BD62" s="27" t="s">
        <v>509</v>
      </c>
      <c r="BG62" s="27" t="s">
        <v>438</v>
      </c>
      <c r="BH62" s="27" t="s">
        <v>439</v>
      </c>
      <c r="BJ62" s="27" t="s">
        <v>1252</v>
      </c>
    </row>
    <row r="63" spans="1:62" s="27" customFormat="1" x14ac:dyDescent="0.25"/>
    <row r="64" spans="1:62" s="25" customFormat="1" hidden="1" x14ac:dyDescent="0.25">
      <c r="A64" s="25" t="s">
        <v>511</v>
      </c>
      <c r="B64" s="25" t="s">
        <v>512</v>
      </c>
      <c r="C64" s="25">
        <v>14</v>
      </c>
      <c r="D64" s="25" t="s">
        <v>513</v>
      </c>
      <c r="E64" s="25" t="s">
        <v>127</v>
      </c>
      <c r="F64" s="25">
        <v>5</v>
      </c>
      <c r="G64" s="25">
        <v>0</v>
      </c>
      <c r="H64" s="25">
        <v>7</v>
      </c>
      <c r="I64" s="25">
        <v>7</v>
      </c>
      <c r="J64" s="25">
        <v>117</v>
      </c>
      <c r="K64" s="25">
        <v>150</v>
      </c>
      <c r="L64" s="25">
        <v>4</v>
      </c>
      <c r="M64" s="25" t="s">
        <v>514</v>
      </c>
      <c r="N64" s="25" t="s">
        <v>67</v>
      </c>
      <c r="O64" s="25" t="s">
        <v>479</v>
      </c>
      <c r="P64" s="25" t="s">
        <v>69</v>
      </c>
      <c r="R64" s="25" t="s">
        <v>121</v>
      </c>
      <c r="S64" s="25" t="s">
        <v>515</v>
      </c>
      <c r="T64" s="25" t="s">
        <v>91</v>
      </c>
      <c r="U64" s="25">
        <v>47.19</v>
      </c>
      <c r="V64" s="25">
        <v>1</v>
      </c>
      <c r="W64" s="25">
        <v>47.19</v>
      </c>
      <c r="X64" s="26">
        <v>44935</v>
      </c>
      <c r="Y64" s="25" t="s">
        <v>123</v>
      </c>
      <c r="Z64" s="25">
        <v>0</v>
      </c>
      <c r="AA64" s="25">
        <v>0</v>
      </c>
      <c r="AB64" s="25">
        <v>0</v>
      </c>
      <c r="AC64" s="25">
        <v>0</v>
      </c>
      <c r="AD64" s="25">
        <v>0</v>
      </c>
      <c r="AE64" s="25">
        <v>10</v>
      </c>
      <c r="AF64" s="25">
        <v>0</v>
      </c>
      <c r="AG64" s="25">
        <v>7</v>
      </c>
      <c r="AH64" s="25">
        <v>0</v>
      </c>
      <c r="AI64" s="25">
        <v>0</v>
      </c>
      <c r="AJ64" s="25">
        <v>0</v>
      </c>
      <c r="AO64" s="25" t="s">
        <v>516</v>
      </c>
      <c r="AP64" s="25">
        <v>0</v>
      </c>
      <c r="AQ64" s="25">
        <v>0</v>
      </c>
      <c r="AR64" s="25">
        <v>0</v>
      </c>
      <c r="AS64" s="25">
        <v>0</v>
      </c>
      <c r="AT64" s="25">
        <v>0</v>
      </c>
      <c r="AU64" s="25" t="s">
        <v>75</v>
      </c>
      <c r="AV64" s="25">
        <v>5.5</v>
      </c>
      <c r="AW64" s="25">
        <v>2.1613144789263341</v>
      </c>
      <c r="AX64" s="25" t="b">
        <v>0</v>
      </c>
      <c r="AY64" s="25" t="s">
        <v>297</v>
      </c>
      <c r="AZ64" s="25" t="s">
        <v>298</v>
      </c>
      <c r="BA64" s="25">
        <v>0</v>
      </c>
      <c r="BB64" s="25">
        <v>0</v>
      </c>
      <c r="BC64" s="25" t="s">
        <v>517</v>
      </c>
      <c r="BD64" s="25" t="s">
        <v>518</v>
      </c>
      <c r="BE64" s="25" t="s">
        <v>519</v>
      </c>
      <c r="BF64" s="25" t="s">
        <v>519</v>
      </c>
      <c r="BJ64" s="25" t="s">
        <v>1253</v>
      </c>
    </row>
    <row r="65" spans="1:62" hidden="1" x14ac:dyDescent="0.25">
      <c r="A65" t="s">
        <v>520</v>
      </c>
      <c r="B65" t="s">
        <v>126</v>
      </c>
      <c r="C65">
        <v>14</v>
      </c>
      <c r="D65" t="s">
        <v>521</v>
      </c>
      <c r="E65" t="s">
        <v>85</v>
      </c>
      <c r="F65">
        <v>6</v>
      </c>
      <c r="G65">
        <v>9</v>
      </c>
      <c r="J65">
        <v>0</v>
      </c>
      <c r="K65">
        <v>270</v>
      </c>
      <c r="L65">
        <v>2</v>
      </c>
      <c r="M65" t="s">
        <v>522</v>
      </c>
      <c r="N65" t="s">
        <v>67</v>
      </c>
      <c r="O65" t="s">
        <v>103</v>
      </c>
      <c r="P65" t="s">
        <v>128</v>
      </c>
      <c r="R65" t="s">
        <v>121</v>
      </c>
      <c r="S65" t="s">
        <v>523</v>
      </c>
      <c r="U65">
        <v>1042.06</v>
      </c>
      <c r="V65">
        <v>7</v>
      </c>
      <c r="W65">
        <v>148.87</v>
      </c>
      <c r="X65" s="14">
        <v>44847</v>
      </c>
      <c r="Z65">
        <v>3</v>
      </c>
      <c r="AA65">
        <v>4</v>
      </c>
      <c r="AB65">
        <v>0</v>
      </c>
      <c r="AC65">
        <v>9</v>
      </c>
      <c r="AD65">
        <v>0</v>
      </c>
      <c r="AO65" t="s">
        <v>524</v>
      </c>
      <c r="AP65">
        <v>0</v>
      </c>
      <c r="AQ65">
        <v>0</v>
      </c>
      <c r="AR65">
        <v>0</v>
      </c>
      <c r="AS65">
        <v>0</v>
      </c>
      <c r="AT65">
        <v>56000</v>
      </c>
      <c r="AU65" t="s">
        <v>75</v>
      </c>
      <c r="AV65">
        <v>1.666666666666667</v>
      </c>
      <c r="AW65">
        <v>1.034559084827928</v>
      </c>
      <c r="AX65" t="b">
        <v>0</v>
      </c>
      <c r="AY65" t="s">
        <v>249</v>
      </c>
      <c r="AZ65" t="s">
        <v>250</v>
      </c>
      <c r="BA65">
        <v>0</v>
      </c>
      <c r="BB65">
        <v>0</v>
      </c>
      <c r="BC65" t="s">
        <v>525</v>
      </c>
      <c r="BD65" t="s">
        <v>526</v>
      </c>
      <c r="BE65" t="s">
        <v>527</v>
      </c>
      <c r="BF65" t="s">
        <v>528</v>
      </c>
    </row>
    <row r="66" spans="1:62" s="25" customFormat="1" x14ac:dyDescent="0.25"/>
    <row r="67" spans="1:62" s="27" customFormat="1" hidden="1" x14ac:dyDescent="0.25">
      <c r="A67" s="27" t="s">
        <v>529</v>
      </c>
      <c r="B67" s="27" t="s">
        <v>530</v>
      </c>
      <c r="C67" s="27">
        <v>8</v>
      </c>
      <c r="D67" s="27" t="s">
        <v>531</v>
      </c>
      <c r="E67" s="27" t="s">
        <v>85</v>
      </c>
      <c r="F67" s="27">
        <v>51</v>
      </c>
      <c r="G67" s="27">
        <v>200</v>
      </c>
      <c r="H67" s="27">
        <v>20</v>
      </c>
      <c r="I67" s="27">
        <v>88</v>
      </c>
      <c r="J67" s="27">
        <v>-73</v>
      </c>
      <c r="K67" s="27">
        <v>120</v>
      </c>
      <c r="L67" s="27">
        <v>31</v>
      </c>
      <c r="M67" s="27" t="s">
        <v>532</v>
      </c>
      <c r="N67" s="27" t="s">
        <v>67</v>
      </c>
      <c r="O67" s="27" t="s">
        <v>120</v>
      </c>
      <c r="P67" s="27" t="s">
        <v>69</v>
      </c>
      <c r="R67" s="27" t="s">
        <v>121</v>
      </c>
      <c r="S67" s="27" t="s">
        <v>533</v>
      </c>
      <c r="T67" s="27" t="s">
        <v>534</v>
      </c>
      <c r="U67" s="27">
        <v>309.67</v>
      </c>
      <c r="V67" s="27">
        <v>170</v>
      </c>
      <c r="W67" s="27">
        <v>1.82</v>
      </c>
      <c r="X67" s="28">
        <v>45069</v>
      </c>
      <c r="Y67" s="27" t="s">
        <v>92</v>
      </c>
      <c r="Z67" s="27">
        <v>50</v>
      </c>
      <c r="AA67" s="27">
        <v>0</v>
      </c>
      <c r="AB67" s="27">
        <v>20</v>
      </c>
      <c r="AC67" s="27">
        <v>90</v>
      </c>
      <c r="AD67" s="27">
        <v>20</v>
      </c>
      <c r="AE67" s="27">
        <v>10</v>
      </c>
      <c r="AF67" s="27">
        <v>10</v>
      </c>
      <c r="AG67" s="27">
        <v>2</v>
      </c>
      <c r="AH67" s="27">
        <v>0</v>
      </c>
      <c r="AI67" s="27">
        <v>0</v>
      </c>
      <c r="AJ67" s="27">
        <v>0</v>
      </c>
      <c r="AK67" s="27">
        <v>0</v>
      </c>
      <c r="AL67" s="27">
        <v>0</v>
      </c>
      <c r="AM67" s="27">
        <v>0</v>
      </c>
      <c r="AO67" s="27" t="s">
        <v>535</v>
      </c>
      <c r="AP67" s="27">
        <v>0</v>
      </c>
      <c r="AQ67" s="27">
        <v>0</v>
      </c>
      <c r="AR67" s="27">
        <v>0</v>
      </c>
      <c r="AS67" s="27">
        <v>0</v>
      </c>
      <c r="AT67" s="27">
        <v>7711</v>
      </c>
      <c r="AU67" s="27" t="s">
        <v>75</v>
      </c>
      <c r="AV67" s="27">
        <v>1.714285714285714</v>
      </c>
      <c r="AW67" s="27">
        <v>1.5532567743922361</v>
      </c>
      <c r="AX67" s="27" t="b">
        <v>0</v>
      </c>
      <c r="AY67" s="27" t="s">
        <v>124</v>
      </c>
      <c r="AZ67" s="27" t="s">
        <v>125</v>
      </c>
      <c r="BA67" s="27">
        <v>0</v>
      </c>
      <c r="BB67" s="27">
        <v>0</v>
      </c>
      <c r="BC67" s="27" t="s">
        <v>536</v>
      </c>
      <c r="BD67" s="27" t="s">
        <v>537</v>
      </c>
      <c r="BE67" s="27" t="s">
        <v>538</v>
      </c>
      <c r="BF67" s="27" t="s">
        <v>538</v>
      </c>
      <c r="BJ67" s="27" t="s">
        <v>1252</v>
      </c>
    </row>
    <row r="68" spans="1:62" s="27" customFormat="1" hidden="1" x14ac:dyDescent="0.25">
      <c r="A68" s="27" t="s">
        <v>539</v>
      </c>
      <c r="B68" s="27" t="s">
        <v>540</v>
      </c>
      <c r="C68" s="27">
        <v>43</v>
      </c>
      <c r="D68" s="27" t="s">
        <v>541</v>
      </c>
      <c r="E68" s="27" t="s">
        <v>85</v>
      </c>
      <c r="F68" s="27">
        <v>350</v>
      </c>
      <c r="G68" s="27">
        <v>1000</v>
      </c>
      <c r="H68" s="27">
        <v>250</v>
      </c>
      <c r="I68" s="27">
        <v>1531</v>
      </c>
      <c r="J68" s="27">
        <v>28</v>
      </c>
      <c r="K68" s="27">
        <v>210</v>
      </c>
      <c r="L68" s="27">
        <v>300</v>
      </c>
      <c r="M68" s="27" t="s">
        <v>542</v>
      </c>
      <c r="N68" s="27" t="s">
        <v>67</v>
      </c>
      <c r="O68" s="27" t="s">
        <v>543</v>
      </c>
      <c r="P68" s="27" t="s">
        <v>69</v>
      </c>
      <c r="R68" s="27" t="s">
        <v>70</v>
      </c>
      <c r="S68" s="27" t="s">
        <v>544</v>
      </c>
      <c r="T68" s="27" t="s">
        <v>545</v>
      </c>
      <c r="U68" s="27">
        <v>59.66</v>
      </c>
      <c r="V68" s="27">
        <v>700</v>
      </c>
      <c r="W68" s="27">
        <v>0.09</v>
      </c>
      <c r="X68" s="28">
        <v>45042</v>
      </c>
      <c r="Y68" s="27" t="s">
        <v>92</v>
      </c>
      <c r="Z68" s="27">
        <v>500</v>
      </c>
      <c r="AA68" s="27">
        <v>200</v>
      </c>
      <c r="AB68" s="27">
        <v>250</v>
      </c>
      <c r="AC68" s="27">
        <v>130</v>
      </c>
      <c r="AD68" s="27">
        <v>200</v>
      </c>
      <c r="AE68" s="27">
        <v>450</v>
      </c>
      <c r="AF68" s="27">
        <v>120</v>
      </c>
      <c r="AG68" s="27">
        <v>200</v>
      </c>
      <c r="AO68" s="27" t="s">
        <v>546</v>
      </c>
      <c r="AP68" s="27">
        <v>0</v>
      </c>
      <c r="AQ68" s="27">
        <v>0</v>
      </c>
      <c r="AR68" s="27">
        <v>0</v>
      </c>
      <c r="AS68" s="27">
        <v>0</v>
      </c>
      <c r="AT68" s="27">
        <v>294</v>
      </c>
      <c r="AU68" s="27" t="s">
        <v>75</v>
      </c>
      <c r="AV68" s="27">
        <v>1</v>
      </c>
      <c r="AW68" s="27">
        <v>0.51806164147372313</v>
      </c>
      <c r="AX68" s="27" t="b">
        <v>0</v>
      </c>
      <c r="AY68" s="27" t="s">
        <v>297</v>
      </c>
      <c r="AZ68" s="27" t="s">
        <v>298</v>
      </c>
      <c r="BA68" s="27">
        <v>0</v>
      </c>
      <c r="BB68" s="27">
        <v>0</v>
      </c>
      <c r="BC68" s="27" t="s">
        <v>547</v>
      </c>
      <c r="BD68" s="27" t="s">
        <v>548</v>
      </c>
      <c r="BE68" s="27" t="s">
        <v>549</v>
      </c>
      <c r="BF68" s="27" t="s">
        <v>550</v>
      </c>
      <c r="BJ68" s="27" t="s">
        <v>1252</v>
      </c>
    </row>
    <row r="69" spans="1:62" s="27" customFormat="1" hidden="1" x14ac:dyDescent="0.25">
      <c r="A69" s="27" t="s">
        <v>551</v>
      </c>
      <c r="B69" s="27" t="s">
        <v>552</v>
      </c>
      <c r="C69" s="27">
        <v>14</v>
      </c>
      <c r="D69" s="27" t="s">
        <v>553</v>
      </c>
      <c r="E69" s="27" t="s">
        <v>65</v>
      </c>
      <c r="F69" s="27">
        <v>556</v>
      </c>
      <c r="G69" s="27">
        <v>1200</v>
      </c>
      <c r="H69" s="27">
        <v>515</v>
      </c>
      <c r="I69" s="27">
        <v>1359</v>
      </c>
      <c r="J69" s="27">
        <v>443</v>
      </c>
      <c r="K69" s="27">
        <v>150</v>
      </c>
      <c r="L69" s="27">
        <v>213</v>
      </c>
      <c r="M69" s="27" t="s">
        <v>554</v>
      </c>
      <c r="N69" s="27" t="s">
        <v>555</v>
      </c>
      <c r="O69" s="27" t="s">
        <v>556</v>
      </c>
      <c r="P69" s="27" t="s">
        <v>69</v>
      </c>
      <c r="R69" s="27" t="s">
        <v>70</v>
      </c>
      <c r="S69" s="27" t="s">
        <v>71</v>
      </c>
      <c r="T69" s="27" t="s">
        <v>91</v>
      </c>
      <c r="U69" s="27">
        <v>4390.63</v>
      </c>
      <c r="V69" s="27">
        <v>990</v>
      </c>
      <c r="W69" s="27">
        <v>4.43</v>
      </c>
      <c r="X69" s="28">
        <v>45314</v>
      </c>
      <c r="Y69" s="27" t="s">
        <v>92</v>
      </c>
      <c r="Z69" s="27">
        <v>358</v>
      </c>
      <c r="AA69" s="27">
        <v>275</v>
      </c>
      <c r="AB69" s="27">
        <v>307</v>
      </c>
      <c r="AC69" s="27">
        <v>377</v>
      </c>
      <c r="AD69" s="27">
        <v>410</v>
      </c>
      <c r="AE69" s="27">
        <v>402</v>
      </c>
      <c r="AF69" s="27">
        <v>402</v>
      </c>
      <c r="AG69" s="27">
        <v>515</v>
      </c>
      <c r="AH69" s="27">
        <v>561</v>
      </c>
      <c r="AI69" s="27">
        <v>460</v>
      </c>
      <c r="AJ69" s="27">
        <v>180</v>
      </c>
      <c r="AO69" s="27" t="s">
        <v>557</v>
      </c>
      <c r="AP69" s="27">
        <v>0</v>
      </c>
      <c r="AQ69" s="27">
        <v>0</v>
      </c>
      <c r="AR69" s="27">
        <v>0</v>
      </c>
      <c r="AS69" s="27">
        <v>0</v>
      </c>
      <c r="AT69" s="27">
        <v>898425</v>
      </c>
      <c r="AU69" s="27" t="s">
        <v>75</v>
      </c>
      <c r="AV69" s="27">
        <v>1</v>
      </c>
      <c r="AW69" s="27">
        <v>0.26562408559478978</v>
      </c>
      <c r="AX69" s="27" t="b">
        <v>0</v>
      </c>
      <c r="AY69" s="27" t="s">
        <v>136</v>
      </c>
      <c r="AZ69" s="27" t="s">
        <v>137</v>
      </c>
      <c r="BA69" s="27">
        <v>0</v>
      </c>
      <c r="BB69" s="27">
        <v>0</v>
      </c>
      <c r="BC69" s="27" t="s">
        <v>558</v>
      </c>
      <c r="BD69" s="27" t="s">
        <v>559</v>
      </c>
      <c r="BE69" s="27" t="s">
        <v>560</v>
      </c>
      <c r="BF69" s="27" t="s">
        <v>561</v>
      </c>
      <c r="BJ69" s="27" t="s">
        <v>1252</v>
      </c>
    </row>
    <row r="70" spans="1:62" s="25" customFormat="1" x14ac:dyDescent="0.25">
      <c r="X70" s="26"/>
    </row>
    <row r="71" spans="1:62" s="27" customFormat="1" hidden="1" x14ac:dyDescent="0.25">
      <c r="A71" s="27" t="s">
        <v>562</v>
      </c>
      <c r="B71" s="27" t="s">
        <v>563</v>
      </c>
      <c r="C71" s="27">
        <v>14</v>
      </c>
      <c r="D71" s="27" t="s">
        <v>564</v>
      </c>
      <c r="E71" s="27" t="s">
        <v>85</v>
      </c>
      <c r="F71" s="27">
        <v>23</v>
      </c>
      <c r="G71" s="27">
        <v>45</v>
      </c>
      <c r="H71" s="27">
        <v>34</v>
      </c>
      <c r="I71" s="27">
        <v>59</v>
      </c>
      <c r="J71" s="27">
        <v>75</v>
      </c>
      <c r="K71" s="27">
        <v>210</v>
      </c>
      <c r="L71" s="27">
        <v>17</v>
      </c>
      <c r="M71" s="27" t="s">
        <v>565</v>
      </c>
      <c r="N71" s="27" t="s">
        <v>566</v>
      </c>
      <c r="O71" s="27" t="s">
        <v>567</v>
      </c>
      <c r="P71" s="27" t="s">
        <v>69</v>
      </c>
      <c r="R71" s="27" t="s">
        <v>89</v>
      </c>
      <c r="S71" s="27" t="s">
        <v>568</v>
      </c>
      <c r="T71" s="27" t="s">
        <v>91</v>
      </c>
      <c r="U71" s="27">
        <v>1400.97</v>
      </c>
      <c r="V71" s="27">
        <v>28</v>
      </c>
      <c r="W71" s="27">
        <v>50.03</v>
      </c>
      <c r="X71" s="28">
        <v>45167</v>
      </c>
      <c r="Y71" s="27" t="s">
        <v>92</v>
      </c>
      <c r="Z71" s="27">
        <v>20</v>
      </c>
      <c r="AA71" s="27">
        <v>7</v>
      </c>
      <c r="AB71" s="27">
        <v>14</v>
      </c>
      <c r="AC71" s="27">
        <v>34</v>
      </c>
      <c r="AD71" s="27">
        <v>0</v>
      </c>
      <c r="AE71" s="27">
        <v>50</v>
      </c>
      <c r="AF71" s="27">
        <v>0</v>
      </c>
      <c r="AG71" s="27">
        <v>30</v>
      </c>
      <c r="AO71" s="27" t="s">
        <v>569</v>
      </c>
      <c r="AP71" s="27">
        <v>0</v>
      </c>
      <c r="AQ71" s="27">
        <v>0</v>
      </c>
      <c r="AR71" s="27">
        <v>0</v>
      </c>
      <c r="AS71" s="27">
        <v>0</v>
      </c>
      <c r="AT71" s="27">
        <v>259</v>
      </c>
      <c r="AU71" s="27" t="s">
        <v>75</v>
      </c>
      <c r="AV71" s="27">
        <v>1.333333333333333</v>
      </c>
      <c r="AW71" s="27">
        <v>0.85548970951153158</v>
      </c>
      <c r="AX71" s="27" t="b">
        <v>0</v>
      </c>
      <c r="AY71" s="27" t="s">
        <v>570</v>
      </c>
      <c r="AZ71" s="27" t="s">
        <v>571</v>
      </c>
      <c r="BA71" s="27">
        <v>0</v>
      </c>
      <c r="BB71" s="27">
        <v>0</v>
      </c>
      <c r="BC71" s="27" t="s">
        <v>572</v>
      </c>
      <c r="BD71" s="27" t="s">
        <v>573</v>
      </c>
      <c r="BE71" s="27" t="s">
        <v>574</v>
      </c>
      <c r="BF71" s="27" t="s">
        <v>575</v>
      </c>
      <c r="BJ71" s="27" t="s">
        <v>1252</v>
      </c>
    </row>
    <row r="72" spans="1:62" s="27" customFormat="1" hidden="1" x14ac:dyDescent="0.25">
      <c r="A72" s="27" t="s">
        <v>576</v>
      </c>
      <c r="B72" s="27" t="s">
        <v>577</v>
      </c>
      <c r="C72" s="27">
        <v>14</v>
      </c>
      <c r="D72" s="27" t="s">
        <v>578</v>
      </c>
      <c r="E72" s="27" t="s">
        <v>65</v>
      </c>
      <c r="F72" s="27">
        <v>339</v>
      </c>
      <c r="G72" s="27">
        <v>580</v>
      </c>
      <c r="H72" s="27">
        <v>308</v>
      </c>
      <c r="I72" s="27">
        <v>1053</v>
      </c>
      <c r="J72" s="27">
        <v>7131</v>
      </c>
      <c r="K72" s="27">
        <v>120</v>
      </c>
      <c r="L72" s="27">
        <v>256</v>
      </c>
      <c r="M72" s="27" t="s">
        <v>579</v>
      </c>
      <c r="N72" s="27" t="s">
        <v>555</v>
      </c>
      <c r="O72" s="27" t="s">
        <v>580</v>
      </c>
      <c r="P72" s="27" t="s">
        <v>69</v>
      </c>
      <c r="R72" s="27" t="s">
        <v>70</v>
      </c>
      <c r="S72" s="27" t="s">
        <v>71</v>
      </c>
      <c r="T72" s="27" t="s">
        <v>91</v>
      </c>
      <c r="U72" s="27">
        <v>9337.8700000000008</v>
      </c>
      <c r="V72" s="27">
        <v>330</v>
      </c>
      <c r="W72" s="27">
        <v>28.3</v>
      </c>
      <c r="X72" s="28">
        <v>45482</v>
      </c>
      <c r="Y72" s="27" t="s">
        <v>92</v>
      </c>
      <c r="Z72" s="27">
        <v>244</v>
      </c>
      <c r="AA72" s="27">
        <v>193</v>
      </c>
      <c r="AB72" s="27">
        <v>219</v>
      </c>
      <c r="AC72" s="27">
        <v>192</v>
      </c>
      <c r="AD72" s="27">
        <v>346</v>
      </c>
      <c r="AE72" s="27">
        <v>259</v>
      </c>
      <c r="AF72" s="27">
        <v>270</v>
      </c>
      <c r="AG72" s="27">
        <v>228</v>
      </c>
      <c r="AH72" s="27">
        <v>284</v>
      </c>
      <c r="AI72" s="27">
        <v>129</v>
      </c>
      <c r="AJ72" s="27">
        <v>211</v>
      </c>
      <c r="AK72" s="27">
        <v>308</v>
      </c>
      <c r="AL72" s="27">
        <v>222</v>
      </c>
      <c r="AM72" s="27">
        <v>0</v>
      </c>
      <c r="AO72" s="27" t="s">
        <v>581</v>
      </c>
      <c r="AP72" s="27">
        <v>0</v>
      </c>
      <c r="AQ72" s="27">
        <v>0</v>
      </c>
      <c r="AR72" s="27">
        <v>0</v>
      </c>
      <c r="AS72" s="27">
        <v>0</v>
      </c>
      <c r="AT72" s="27">
        <v>356340</v>
      </c>
      <c r="AU72" s="27" t="s">
        <v>75</v>
      </c>
      <c r="AV72" s="27">
        <v>1</v>
      </c>
      <c r="AW72" s="27">
        <v>0.2321603572404991</v>
      </c>
      <c r="AX72" s="27" t="b">
        <v>0</v>
      </c>
      <c r="AY72" s="27" t="s">
        <v>388</v>
      </c>
      <c r="AZ72" s="27" t="s">
        <v>389</v>
      </c>
      <c r="BA72" s="27">
        <v>0</v>
      </c>
      <c r="BB72" s="27">
        <v>0</v>
      </c>
      <c r="BC72" s="27" t="s">
        <v>582</v>
      </c>
      <c r="BD72" s="27" t="s">
        <v>583</v>
      </c>
      <c r="BE72" s="27" t="s">
        <v>584</v>
      </c>
      <c r="BF72" s="27" t="s">
        <v>584</v>
      </c>
      <c r="BG72" s="27" t="s">
        <v>585</v>
      </c>
      <c r="BH72" s="27" t="s">
        <v>586</v>
      </c>
      <c r="BJ72" s="27" t="s">
        <v>1252</v>
      </c>
    </row>
    <row r="73" spans="1:62" hidden="1" x14ac:dyDescent="0.25">
      <c r="A73" t="s">
        <v>587</v>
      </c>
      <c r="B73" t="s">
        <v>588</v>
      </c>
      <c r="C73">
        <v>1</v>
      </c>
      <c r="D73" t="s">
        <v>589</v>
      </c>
      <c r="E73" t="s">
        <v>85</v>
      </c>
      <c r="F73">
        <v>21</v>
      </c>
      <c r="G73">
        <v>60</v>
      </c>
      <c r="H73">
        <v>37</v>
      </c>
      <c r="I73">
        <v>94</v>
      </c>
      <c r="J73">
        <v>26</v>
      </c>
      <c r="K73">
        <v>150</v>
      </c>
      <c r="L73">
        <v>10</v>
      </c>
      <c r="M73" t="s">
        <v>590</v>
      </c>
      <c r="N73" t="s">
        <v>67</v>
      </c>
      <c r="O73" t="s">
        <v>195</v>
      </c>
      <c r="P73" t="s">
        <v>69</v>
      </c>
      <c r="R73" t="s">
        <v>89</v>
      </c>
      <c r="S73" t="s">
        <v>71</v>
      </c>
      <c r="T73" t="s">
        <v>591</v>
      </c>
      <c r="U73">
        <v>145.1</v>
      </c>
      <c r="V73">
        <v>50</v>
      </c>
      <c r="W73">
        <v>2.9</v>
      </c>
      <c r="X73" s="14">
        <v>44861</v>
      </c>
      <c r="Y73" t="s">
        <v>92</v>
      </c>
      <c r="Z73">
        <v>75</v>
      </c>
      <c r="AA73">
        <v>8</v>
      </c>
      <c r="AB73">
        <v>19</v>
      </c>
      <c r="AC73">
        <v>0</v>
      </c>
      <c r="AD73">
        <v>21</v>
      </c>
      <c r="AE73">
        <v>37</v>
      </c>
      <c r="AF73">
        <v>10</v>
      </c>
      <c r="AG73">
        <v>0</v>
      </c>
      <c r="AH73">
        <v>40</v>
      </c>
      <c r="AI73">
        <v>12</v>
      </c>
      <c r="AJ73">
        <v>25</v>
      </c>
      <c r="AO73" t="s">
        <v>592</v>
      </c>
      <c r="AP73">
        <v>0</v>
      </c>
      <c r="AQ73">
        <v>0</v>
      </c>
      <c r="AR73">
        <v>0</v>
      </c>
      <c r="AS73">
        <v>0</v>
      </c>
      <c r="AT73">
        <v>0</v>
      </c>
      <c r="AU73" t="s">
        <v>75</v>
      </c>
      <c r="AV73">
        <v>1.2222222222222221</v>
      </c>
      <c r="AW73">
        <v>0.92861821386045229</v>
      </c>
      <c r="AX73" t="b">
        <v>0</v>
      </c>
      <c r="AY73" t="s">
        <v>249</v>
      </c>
      <c r="AZ73" t="s">
        <v>250</v>
      </c>
      <c r="BA73">
        <v>0</v>
      </c>
      <c r="BB73">
        <v>0</v>
      </c>
      <c r="BC73" t="s">
        <v>593</v>
      </c>
      <c r="BD73" t="s">
        <v>594</v>
      </c>
      <c r="BE73" t="s">
        <v>595</v>
      </c>
      <c r="BF73" t="s">
        <v>596</v>
      </c>
    </row>
    <row r="74" spans="1:62" s="27" customFormat="1" hidden="1" x14ac:dyDescent="0.25">
      <c r="A74" s="27" t="s">
        <v>597</v>
      </c>
      <c r="B74" s="27" t="s">
        <v>598</v>
      </c>
      <c r="C74" s="27">
        <v>1</v>
      </c>
      <c r="D74" s="27" t="s">
        <v>599</v>
      </c>
      <c r="E74" s="27" t="s">
        <v>85</v>
      </c>
      <c r="F74" s="27">
        <v>251</v>
      </c>
      <c r="G74" s="27">
        <v>700</v>
      </c>
      <c r="H74" s="27">
        <v>230</v>
      </c>
      <c r="I74" s="27">
        <v>1439</v>
      </c>
      <c r="J74" s="27">
        <v>60</v>
      </c>
      <c r="K74" s="27">
        <v>150</v>
      </c>
      <c r="L74" s="27">
        <v>159</v>
      </c>
      <c r="M74" s="27" t="s">
        <v>600</v>
      </c>
      <c r="N74" s="27" t="s">
        <v>67</v>
      </c>
      <c r="O74" s="27" t="s">
        <v>120</v>
      </c>
      <c r="P74" s="27" t="s">
        <v>69</v>
      </c>
      <c r="R74" s="27" t="s">
        <v>70</v>
      </c>
      <c r="S74" s="27" t="s">
        <v>71</v>
      </c>
      <c r="T74" s="27" t="s">
        <v>91</v>
      </c>
      <c r="U74" s="27">
        <v>96.3</v>
      </c>
      <c r="V74" s="27">
        <v>600</v>
      </c>
      <c r="W74" s="27">
        <v>0.16</v>
      </c>
      <c r="X74" s="28">
        <v>45042</v>
      </c>
      <c r="Y74" s="27" t="s">
        <v>73</v>
      </c>
      <c r="Z74" s="27">
        <v>174</v>
      </c>
      <c r="AA74" s="27">
        <v>166</v>
      </c>
      <c r="AB74" s="27">
        <v>22</v>
      </c>
      <c r="AC74" s="27">
        <v>230</v>
      </c>
      <c r="AD74" s="27">
        <v>249</v>
      </c>
      <c r="AE74" s="27">
        <v>230</v>
      </c>
      <c r="AF74" s="27">
        <v>136</v>
      </c>
      <c r="AG74" s="27">
        <v>166</v>
      </c>
      <c r="AH74" s="27">
        <v>31</v>
      </c>
      <c r="AI74" s="27">
        <v>56</v>
      </c>
      <c r="AJ74" s="27">
        <v>0</v>
      </c>
      <c r="AO74" s="27" t="s">
        <v>601</v>
      </c>
      <c r="AP74" s="27">
        <v>0</v>
      </c>
      <c r="AQ74" s="27">
        <v>0</v>
      </c>
      <c r="AR74" s="27">
        <v>0</v>
      </c>
      <c r="AS74" s="27">
        <v>0</v>
      </c>
      <c r="AT74" s="27">
        <v>1476</v>
      </c>
      <c r="AU74" s="27" t="s">
        <v>75</v>
      </c>
      <c r="AV74" s="27">
        <v>1.1000000000000001</v>
      </c>
      <c r="AW74" s="27">
        <v>0.65242233799282856</v>
      </c>
      <c r="AX74" s="27" t="b">
        <v>0</v>
      </c>
      <c r="AY74" s="27" t="s">
        <v>124</v>
      </c>
      <c r="AZ74" s="27" t="s">
        <v>125</v>
      </c>
      <c r="BA74" s="27">
        <v>0</v>
      </c>
      <c r="BB74" s="27">
        <v>0</v>
      </c>
      <c r="BC74" s="27" t="s">
        <v>602</v>
      </c>
      <c r="BD74" s="27" t="s">
        <v>603</v>
      </c>
      <c r="BE74" s="27" t="s">
        <v>604</v>
      </c>
      <c r="BF74" s="27" t="s">
        <v>604</v>
      </c>
      <c r="BJ74" s="27" t="s">
        <v>1252</v>
      </c>
    </row>
    <row r="75" spans="1:62" s="25" customFormat="1" x14ac:dyDescent="0.25">
      <c r="X75" s="26"/>
    </row>
    <row r="76" spans="1:62" s="25" customFormat="1" x14ac:dyDescent="0.25"/>
    <row r="77" spans="1:62" s="25" customFormat="1" x14ac:dyDescent="0.25"/>
    <row r="78" spans="1:62" s="27" customFormat="1" hidden="1" x14ac:dyDescent="0.25">
      <c r="A78" s="27" t="s">
        <v>605</v>
      </c>
      <c r="B78" s="27" t="s">
        <v>606</v>
      </c>
      <c r="C78" s="27">
        <v>14</v>
      </c>
      <c r="D78" s="27" t="s">
        <v>607</v>
      </c>
      <c r="E78" s="27" t="s">
        <v>85</v>
      </c>
      <c r="F78" s="27">
        <v>5</v>
      </c>
      <c r="G78" s="27">
        <v>20</v>
      </c>
      <c r="H78" s="27">
        <v>7</v>
      </c>
      <c r="I78" s="27">
        <v>43</v>
      </c>
      <c r="J78" s="27">
        <v>38</v>
      </c>
      <c r="K78" s="27">
        <v>270</v>
      </c>
      <c r="L78" s="27">
        <v>1</v>
      </c>
      <c r="M78" s="27" t="s">
        <v>608</v>
      </c>
      <c r="N78" s="27" t="s">
        <v>67</v>
      </c>
      <c r="O78" s="27" t="s">
        <v>146</v>
      </c>
      <c r="P78" s="27" t="s">
        <v>69</v>
      </c>
      <c r="R78" s="27" t="s">
        <v>89</v>
      </c>
      <c r="S78" s="27" t="s">
        <v>609</v>
      </c>
      <c r="T78" s="27" t="s">
        <v>610</v>
      </c>
      <c r="U78" s="27">
        <v>69.349999999999994</v>
      </c>
      <c r="V78" s="27">
        <v>19</v>
      </c>
      <c r="W78" s="27">
        <v>3.65</v>
      </c>
      <c r="X78" s="28">
        <v>45307</v>
      </c>
      <c r="Y78" s="27" t="s">
        <v>92</v>
      </c>
      <c r="Z78" s="27">
        <v>19</v>
      </c>
      <c r="AA78" s="27">
        <v>7</v>
      </c>
      <c r="AB78" s="27">
        <v>4</v>
      </c>
      <c r="AC78" s="27">
        <v>4</v>
      </c>
      <c r="AD78" s="27">
        <v>8</v>
      </c>
      <c r="AE78" s="27">
        <v>0</v>
      </c>
      <c r="AO78" s="27" t="s">
        <v>611</v>
      </c>
      <c r="AP78" s="27">
        <v>0</v>
      </c>
      <c r="AQ78" s="27">
        <v>0</v>
      </c>
      <c r="AR78" s="27">
        <v>0</v>
      </c>
      <c r="AS78" s="27">
        <v>0</v>
      </c>
      <c r="AT78" s="27">
        <v>2235</v>
      </c>
      <c r="AU78" s="27" t="s">
        <v>75</v>
      </c>
      <c r="AV78" s="27">
        <v>1.2</v>
      </c>
      <c r="AW78" s="27">
        <v>0.84916926191080999</v>
      </c>
      <c r="AX78" s="27" t="b">
        <v>0</v>
      </c>
      <c r="AY78" s="27" t="s">
        <v>612</v>
      </c>
      <c r="AZ78" s="27" t="s">
        <v>613</v>
      </c>
      <c r="BA78" s="27">
        <v>0</v>
      </c>
      <c r="BB78" s="27">
        <v>0</v>
      </c>
      <c r="BC78" s="27" t="s">
        <v>614</v>
      </c>
      <c r="BD78" s="27" t="s">
        <v>615</v>
      </c>
      <c r="BE78" s="27" t="s">
        <v>616</v>
      </c>
      <c r="BF78" s="27" t="s">
        <v>616</v>
      </c>
      <c r="BJ78" s="27" t="s">
        <v>1252</v>
      </c>
    </row>
    <row r="79" spans="1:62" s="25" customFormat="1" x14ac:dyDescent="0.25"/>
    <row r="80" spans="1:62" s="27" customFormat="1" x14ac:dyDescent="0.25"/>
    <row r="81" spans="1:62" s="27" customFormat="1" hidden="1" x14ac:dyDescent="0.25">
      <c r="A81" s="27" t="s">
        <v>617</v>
      </c>
      <c r="B81" s="27" t="s">
        <v>618</v>
      </c>
      <c r="C81" s="27">
        <v>57</v>
      </c>
      <c r="D81" s="27" t="s">
        <v>619</v>
      </c>
      <c r="E81" s="27" t="s">
        <v>85</v>
      </c>
      <c r="F81" s="27">
        <v>2</v>
      </c>
      <c r="G81" s="27">
        <v>3</v>
      </c>
      <c r="H81" s="27">
        <v>1</v>
      </c>
      <c r="I81" s="27">
        <v>3</v>
      </c>
      <c r="J81" s="27">
        <v>378</v>
      </c>
      <c r="K81" s="27">
        <v>180</v>
      </c>
      <c r="L81" s="27">
        <v>1</v>
      </c>
      <c r="M81" s="27" t="s">
        <v>620</v>
      </c>
      <c r="N81" s="27" t="s">
        <v>119</v>
      </c>
      <c r="O81" s="27" t="s">
        <v>621</v>
      </c>
      <c r="P81" s="27" t="s">
        <v>69</v>
      </c>
      <c r="R81" s="27" t="s">
        <v>121</v>
      </c>
      <c r="S81" s="27" t="s">
        <v>622</v>
      </c>
      <c r="T81" s="27" t="s">
        <v>91</v>
      </c>
      <c r="U81" s="27">
        <v>1514.98</v>
      </c>
      <c r="V81" s="27">
        <v>2</v>
      </c>
      <c r="W81" s="27">
        <v>757.49</v>
      </c>
      <c r="X81" s="28">
        <v>45358</v>
      </c>
      <c r="Y81" s="27" t="s">
        <v>123</v>
      </c>
      <c r="Z81" s="27">
        <v>0</v>
      </c>
      <c r="AA81" s="27">
        <v>3</v>
      </c>
      <c r="AB81" s="27">
        <v>1</v>
      </c>
      <c r="AC81" s="27">
        <v>0</v>
      </c>
      <c r="AD81" s="27">
        <v>0</v>
      </c>
      <c r="AE81" s="27">
        <v>0</v>
      </c>
      <c r="AF81" s="27">
        <v>0</v>
      </c>
      <c r="AG81" s="27">
        <v>0</v>
      </c>
      <c r="AH81" s="27">
        <v>0</v>
      </c>
      <c r="AO81" s="27" t="s">
        <v>623</v>
      </c>
      <c r="AP81" s="27">
        <v>0</v>
      </c>
      <c r="AQ81" s="27">
        <v>1</v>
      </c>
      <c r="AR81" s="27">
        <v>0</v>
      </c>
      <c r="AS81" s="27">
        <v>18</v>
      </c>
      <c r="AT81" s="27">
        <v>8908</v>
      </c>
      <c r="AU81" s="27" t="s">
        <v>75</v>
      </c>
      <c r="AV81" s="27">
        <v>4.5</v>
      </c>
      <c r="AW81" s="27">
        <v>2.1505813167606571</v>
      </c>
      <c r="AX81" s="27" t="b">
        <v>0</v>
      </c>
      <c r="AY81" s="27" t="s">
        <v>310</v>
      </c>
      <c r="AZ81" s="27" t="s">
        <v>311</v>
      </c>
      <c r="BA81" s="27">
        <v>0</v>
      </c>
      <c r="BB81" s="27">
        <v>0</v>
      </c>
      <c r="BC81" s="27" t="s">
        <v>624</v>
      </c>
      <c r="BD81" s="27" t="s">
        <v>625</v>
      </c>
      <c r="BE81" s="27" t="s">
        <v>626</v>
      </c>
      <c r="BF81" s="27" t="s">
        <v>626</v>
      </c>
      <c r="BI81" s="27" t="s">
        <v>627</v>
      </c>
      <c r="BJ81" s="27" t="s">
        <v>1252</v>
      </c>
    </row>
    <row r="84" spans="1:62" s="27" customFormat="1" hidden="1" x14ac:dyDescent="0.25">
      <c r="A84" s="27" t="s">
        <v>628</v>
      </c>
      <c r="B84" s="27" t="s">
        <v>629</v>
      </c>
      <c r="C84" s="27">
        <v>12</v>
      </c>
      <c r="D84" s="27" t="s">
        <v>630</v>
      </c>
      <c r="E84" s="27" t="s">
        <v>65</v>
      </c>
      <c r="F84" s="27">
        <v>3523</v>
      </c>
      <c r="G84" s="27">
        <v>8900</v>
      </c>
      <c r="H84" s="27">
        <v>900</v>
      </c>
      <c r="I84" s="27">
        <v>0</v>
      </c>
      <c r="J84" s="27">
        <v>-31</v>
      </c>
      <c r="K84" s="27">
        <v>150</v>
      </c>
      <c r="L84" s="27">
        <v>990</v>
      </c>
      <c r="M84" s="27" t="s">
        <v>631</v>
      </c>
      <c r="N84" s="27" t="s">
        <v>67</v>
      </c>
      <c r="O84" s="27" t="s">
        <v>120</v>
      </c>
      <c r="P84" s="27" t="s">
        <v>69</v>
      </c>
      <c r="R84" s="27" t="s">
        <v>89</v>
      </c>
      <c r="S84" s="27" t="s">
        <v>71</v>
      </c>
      <c r="T84" s="27" t="s">
        <v>632</v>
      </c>
      <c r="U84" s="27">
        <v>94.01</v>
      </c>
      <c r="V84" s="27">
        <v>8000</v>
      </c>
      <c r="W84" s="27">
        <v>0.01</v>
      </c>
      <c r="X84" s="28">
        <v>45470</v>
      </c>
      <c r="Y84" s="27" t="s">
        <v>92</v>
      </c>
      <c r="Z84" s="27">
        <v>3410</v>
      </c>
      <c r="AA84" s="27">
        <v>900</v>
      </c>
      <c r="AB84" s="27">
        <v>700</v>
      </c>
      <c r="AC84" s="27">
        <v>400</v>
      </c>
      <c r="AD84" s="27">
        <v>250</v>
      </c>
      <c r="AE84" s="27">
        <v>200</v>
      </c>
      <c r="AF84" s="27">
        <v>900</v>
      </c>
      <c r="AG84" s="27">
        <v>0</v>
      </c>
      <c r="AH84" s="27">
        <v>1150</v>
      </c>
      <c r="AI84" s="27">
        <v>150</v>
      </c>
      <c r="AJ84" s="27">
        <v>200</v>
      </c>
      <c r="AO84" s="27" t="s">
        <v>633</v>
      </c>
      <c r="AP84" s="27">
        <v>200</v>
      </c>
      <c r="AQ84" s="27">
        <v>1300</v>
      </c>
      <c r="AR84" s="27">
        <v>0</v>
      </c>
      <c r="AS84" s="27">
        <v>0</v>
      </c>
      <c r="AT84" s="27">
        <v>3040</v>
      </c>
      <c r="AU84" s="27" t="s">
        <v>75</v>
      </c>
      <c r="AV84" s="27">
        <v>1.1000000000000001</v>
      </c>
      <c r="AW84" s="27">
        <v>1.216776286079742</v>
      </c>
      <c r="AX84" s="27" t="b">
        <v>0</v>
      </c>
      <c r="AY84" s="27" t="s">
        <v>634</v>
      </c>
      <c r="AZ84" s="27" t="s">
        <v>635</v>
      </c>
      <c r="BA84" s="27">
        <v>0</v>
      </c>
      <c r="BB84" s="27">
        <v>0</v>
      </c>
      <c r="BC84" s="27" t="s">
        <v>636</v>
      </c>
      <c r="BD84" s="27" t="s">
        <v>637</v>
      </c>
      <c r="BE84" s="27" t="s">
        <v>638</v>
      </c>
      <c r="BF84" s="27" t="s">
        <v>638</v>
      </c>
      <c r="BJ84" s="27" t="s">
        <v>1252</v>
      </c>
    </row>
    <row r="85" spans="1:62" s="25" customFormat="1" hidden="1" x14ac:dyDescent="0.25">
      <c r="A85" s="25" t="s">
        <v>639</v>
      </c>
      <c r="B85" s="25" t="s">
        <v>126</v>
      </c>
      <c r="C85" s="25">
        <v>14</v>
      </c>
      <c r="D85" s="25" t="s">
        <v>640</v>
      </c>
      <c r="E85" s="25" t="s">
        <v>85</v>
      </c>
      <c r="F85" s="25">
        <v>10</v>
      </c>
      <c r="G85" s="25">
        <v>30</v>
      </c>
      <c r="J85" s="25">
        <v>0</v>
      </c>
      <c r="K85" s="25">
        <v>150</v>
      </c>
      <c r="L85" s="25">
        <v>0</v>
      </c>
      <c r="M85" s="25" t="s">
        <v>641</v>
      </c>
      <c r="N85" s="25" t="s">
        <v>67</v>
      </c>
      <c r="O85" s="25" t="s">
        <v>177</v>
      </c>
      <c r="P85" s="25" t="s">
        <v>128</v>
      </c>
      <c r="R85" s="25" t="s">
        <v>121</v>
      </c>
      <c r="S85" s="25" t="s">
        <v>642</v>
      </c>
      <c r="U85" s="25">
        <v>231.78</v>
      </c>
      <c r="V85" s="25">
        <v>30</v>
      </c>
      <c r="W85" s="25">
        <v>7.73</v>
      </c>
      <c r="X85" s="26">
        <v>45043</v>
      </c>
      <c r="Z85" s="25">
        <v>0</v>
      </c>
      <c r="AA85" s="25">
        <v>0</v>
      </c>
      <c r="AB85" s="25">
        <v>0</v>
      </c>
      <c r="AC85" s="25">
        <v>0</v>
      </c>
      <c r="AD85" s="25">
        <v>0</v>
      </c>
      <c r="AE85" s="25">
        <v>0</v>
      </c>
      <c r="AF85" s="25">
        <v>0</v>
      </c>
      <c r="AG85" s="25">
        <v>0</v>
      </c>
      <c r="AH85" s="25">
        <v>15</v>
      </c>
      <c r="AI85" s="25">
        <v>0</v>
      </c>
      <c r="AJ85" s="25">
        <v>0</v>
      </c>
      <c r="AO85" s="25" t="s">
        <v>105</v>
      </c>
      <c r="AP85" s="25">
        <v>0</v>
      </c>
      <c r="AQ85" s="25">
        <v>0</v>
      </c>
      <c r="AR85" s="25">
        <v>0</v>
      </c>
      <c r="AS85" s="25">
        <v>0</v>
      </c>
      <c r="AT85" s="25">
        <v>0</v>
      </c>
      <c r="AU85" s="25" t="s">
        <v>75</v>
      </c>
      <c r="AV85" s="25">
        <v>11</v>
      </c>
      <c r="AW85" s="25">
        <v>3.16227766016838</v>
      </c>
      <c r="AX85" s="25" t="b">
        <v>0</v>
      </c>
      <c r="AY85" s="25" t="s">
        <v>112</v>
      </c>
      <c r="AZ85" s="25" t="s">
        <v>113</v>
      </c>
      <c r="BA85" s="25">
        <v>0</v>
      </c>
      <c r="BB85" s="25">
        <v>0</v>
      </c>
      <c r="BC85" s="25" t="s">
        <v>643</v>
      </c>
      <c r="BD85" s="25" t="s">
        <v>644</v>
      </c>
      <c r="BE85" s="25" t="s">
        <v>645</v>
      </c>
      <c r="BF85" s="25" t="s">
        <v>646</v>
      </c>
      <c r="BJ85" s="25" t="s">
        <v>1253</v>
      </c>
    </row>
    <row r="86" spans="1:62" s="25" customFormat="1" hidden="1" x14ac:dyDescent="0.25">
      <c r="A86" s="25" t="s">
        <v>647</v>
      </c>
      <c r="B86" s="25" t="s">
        <v>174</v>
      </c>
      <c r="C86" s="25">
        <v>316</v>
      </c>
      <c r="D86" s="25" t="s">
        <v>648</v>
      </c>
      <c r="E86" s="25" t="s">
        <v>85</v>
      </c>
      <c r="F86" s="25">
        <v>5</v>
      </c>
      <c r="G86" s="25">
        <v>10</v>
      </c>
      <c r="J86" s="25">
        <v>0</v>
      </c>
      <c r="K86" s="25">
        <v>90</v>
      </c>
      <c r="L86" s="25">
        <v>0</v>
      </c>
      <c r="M86" s="25" t="s">
        <v>649</v>
      </c>
      <c r="N86" s="25" t="s">
        <v>566</v>
      </c>
      <c r="O86" s="25" t="s">
        <v>650</v>
      </c>
      <c r="P86" s="25" t="s">
        <v>178</v>
      </c>
      <c r="R86" s="25" t="s">
        <v>121</v>
      </c>
      <c r="S86" s="25" t="s">
        <v>71</v>
      </c>
      <c r="U86" s="25">
        <v>1394.55</v>
      </c>
      <c r="V86" s="25">
        <v>10</v>
      </c>
      <c r="W86" s="25">
        <v>139.46</v>
      </c>
      <c r="X86" s="26">
        <v>45133</v>
      </c>
      <c r="Z86" s="25">
        <v>0</v>
      </c>
      <c r="AA86" s="25">
        <v>0</v>
      </c>
      <c r="AB86" s="25">
        <v>0</v>
      </c>
      <c r="AC86" s="25">
        <v>8</v>
      </c>
      <c r="AD86" s="25">
        <v>2</v>
      </c>
      <c r="AE86" s="25">
        <v>0</v>
      </c>
      <c r="AF86" s="25">
        <v>0</v>
      </c>
      <c r="AG86" s="25">
        <v>0</v>
      </c>
      <c r="AH86" s="25">
        <v>0</v>
      </c>
      <c r="AI86" s="25">
        <v>0</v>
      </c>
      <c r="AJ86" s="25">
        <v>0</v>
      </c>
      <c r="AK86" s="25">
        <v>0</v>
      </c>
      <c r="AL86" s="25">
        <v>0</v>
      </c>
      <c r="AM86" s="25">
        <v>0</v>
      </c>
      <c r="AN86" s="25">
        <v>0</v>
      </c>
      <c r="AO86" s="25" t="s">
        <v>651</v>
      </c>
      <c r="AP86" s="25">
        <v>0</v>
      </c>
      <c r="AQ86" s="25">
        <v>0</v>
      </c>
      <c r="AR86" s="25">
        <v>0</v>
      </c>
      <c r="AS86" s="25">
        <v>0</v>
      </c>
      <c r="AT86" s="25">
        <v>12420</v>
      </c>
      <c r="AU86" s="25" t="s">
        <v>75</v>
      </c>
      <c r="AV86" s="25">
        <v>6</v>
      </c>
      <c r="AW86" s="25">
        <v>2.6758176320519298</v>
      </c>
      <c r="AX86" s="25" t="b">
        <v>0</v>
      </c>
      <c r="AY86" s="25" t="s">
        <v>652</v>
      </c>
      <c r="AZ86" s="25" t="s">
        <v>653</v>
      </c>
      <c r="BA86" s="25">
        <v>0</v>
      </c>
      <c r="BB86" s="25">
        <v>0</v>
      </c>
      <c r="BC86" s="25" t="s">
        <v>654</v>
      </c>
      <c r="BD86" s="25" t="s">
        <v>655</v>
      </c>
      <c r="BG86" s="25" t="s">
        <v>656</v>
      </c>
      <c r="BH86" s="25" t="s">
        <v>657</v>
      </c>
      <c r="BJ86" s="25" t="s">
        <v>1253</v>
      </c>
    </row>
    <row r="87" spans="1:62" s="25" customFormat="1" hidden="1" x14ac:dyDescent="0.25">
      <c r="A87" s="25" t="s">
        <v>658</v>
      </c>
      <c r="B87" s="25" t="s">
        <v>659</v>
      </c>
      <c r="C87" s="25">
        <v>60</v>
      </c>
      <c r="D87" s="25" t="s">
        <v>660</v>
      </c>
      <c r="E87" s="25" t="s">
        <v>85</v>
      </c>
      <c r="F87" s="25">
        <v>3</v>
      </c>
      <c r="G87" s="25">
        <v>5</v>
      </c>
      <c r="J87" s="25">
        <v>0</v>
      </c>
      <c r="K87" s="25">
        <v>270</v>
      </c>
      <c r="L87" s="25">
        <v>2</v>
      </c>
      <c r="M87" s="25" t="s">
        <v>661</v>
      </c>
      <c r="N87" s="25" t="s">
        <v>87</v>
      </c>
      <c r="O87" s="25" t="s">
        <v>662</v>
      </c>
      <c r="P87" s="25" t="s">
        <v>345</v>
      </c>
      <c r="R87" s="25" t="s">
        <v>121</v>
      </c>
      <c r="S87" s="25" t="s">
        <v>663</v>
      </c>
      <c r="U87" s="25">
        <v>737.7</v>
      </c>
      <c r="V87" s="25">
        <v>3</v>
      </c>
      <c r="W87" s="25">
        <v>245.9</v>
      </c>
      <c r="X87" s="26">
        <v>44652</v>
      </c>
      <c r="Z87" s="25">
        <v>3</v>
      </c>
      <c r="AA87" s="25">
        <v>0</v>
      </c>
      <c r="AB87" s="25">
        <v>0</v>
      </c>
      <c r="AC87" s="25">
        <v>0</v>
      </c>
      <c r="AD87" s="25">
        <v>0</v>
      </c>
      <c r="AE87" s="25">
        <v>0</v>
      </c>
      <c r="AO87" s="25" t="s">
        <v>664</v>
      </c>
      <c r="AP87" s="25">
        <v>0</v>
      </c>
      <c r="AQ87" s="25">
        <v>0</v>
      </c>
      <c r="AR87" s="25">
        <v>0</v>
      </c>
      <c r="AS87" s="25">
        <v>0</v>
      </c>
      <c r="AT87" s="25">
        <v>57</v>
      </c>
      <c r="AU87" s="25" t="s">
        <v>75</v>
      </c>
      <c r="AV87" s="25">
        <v>6</v>
      </c>
      <c r="AW87" s="25">
        <v>2.2360679774997898</v>
      </c>
      <c r="AX87" s="25" t="b">
        <v>0</v>
      </c>
      <c r="AY87" s="25" t="s">
        <v>665</v>
      </c>
      <c r="AZ87" s="25" t="s">
        <v>666</v>
      </c>
      <c r="BA87" s="25">
        <v>0</v>
      </c>
      <c r="BB87" s="25">
        <v>0</v>
      </c>
      <c r="BC87" s="25" t="s">
        <v>667</v>
      </c>
      <c r="BD87" s="25" t="s">
        <v>668</v>
      </c>
      <c r="BE87" s="25" t="s">
        <v>669</v>
      </c>
      <c r="BF87" s="25" t="s">
        <v>669</v>
      </c>
      <c r="BJ87" s="25" t="s">
        <v>1253</v>
      </c>
    </row>
    <row r="88" spans="1:62" s="27" customFormat="1" hidden="1" x14ac:dyDescent="0.25">
      <c r="A88" s="27" t="s">
        <v>670</v>
      </c>
      <c r="B88" s="27" t="s">
        <v>671</v>
      </c>
      <c r="C88" s="27">
        <v>14</v>
      </c>
      <c r="D88" s="27" t="s">
        <v>672</v>
      </c>
      <c r="E88" s="27" t="s">
        <v>85</v>
      </c>
      <c r="F88" s="27">
        <v>5</v>
      </c>
      <c r="G88" s="27">
        <v>10</v>
      </c>
      <c r="H88" s="27">
        <v>2</v>
      </c>
      <c r="I88" s="27">
        <v>11</v>
      </c>
      <c r="J88" s="27">
        <v>14</v>
      </c>
      <c r="K88" s="27">
        <v>90</v>
      </c>
      <c r="L88" s="27">
        <v>3</v>
      </c>
      <c r="M88" s="27" t="s">
        <v>673</v>
      </c>
      <c r="N88" s="27" t="s">
        <v>67</v>
      </c>
      <c r="O88" s="27" t="s">
        <v>674</v>
      </c>
      <c r="P88" s="27" t="s">
        <v>69</v>
      </c>
      <c r="R88" s="27" t="s">
        <v>121</v>
      </c>
      <c r="S88" s="27" t="s">
        <v>675</v>
      </c>
      <c r="T88" s="27" t="s">
        <v>91</v>
      </c>
      <c r="U88" s="27">
        <v>51.29</v>
      </c>
      <c r="V88" s="27">
        <v>7</v>
      </c>
      <c r="W88" s="27">
        <v>7.33</v>
      </c>
      <c r="X88" s="28">
        <v>44630</v>
      </c>
      <c r="Y88" s="27" t="s">
        <v>123</v>
      </c>
      <c r="Z88" s="27">
        <v>3</v>
      </c>
      <c r="AA88" s="27">
        <v>0</v>
      </c>
      <c r="AB88" s="27">
        <v>1</v>
      </c>
      <c r="AC88" s="27">
        <v>2</v>
      </c>
      <c r="AD88" s="27">
        <v>0</v>
      </c>
      <c r="AE88" s="27">
        <v>0</v>
      </c>
      <c r="AF88" s="27">
        <v>0</v>
      </c>
      <c r="AG88" s="27">
        <v>0</v>
      </c>
      <c r="AH88" s="27">
        <v>0</v>
      </c>
      <c r="AI88" s="27">
        <v>1</v>
      </c>
      <c r="AJ88" s="27">
        <v>0</v>
      </c>
      <c r="AK88" s="27">
        <v>2</v>
      </c>
      <c r="AL88" s="27">
        <v>0</v>
      </c>
      <c r="AM88" s="27">
        <v>0</v>
      </c>
      <c r="AN88" s="27">
        <v>0</v>
      </c>
      <c r="AO88" s="27" t="s">
        <v>676</v>
      </c>
      <c r="AP88" s="27">
        <v>0</v>
      </c>
      <c r="AQ88" s="27">
        <v>0</v>
      </c>
      <c r="AR88" s="27">
        <v>0</v>
      </c>
      <c r="AS88" s="27">
        <v>0</v>
      </c>
      <c r="AT88" s="27">
        <v>0</v>
      </c>
      <c r="AU88" s="27" t="s">
        <v>75</v>
      </c>
      <c r="AV88" s="27">
        <v>2.4</v>
      </c>
      <c r="AW88" s="27">
        <v>1.347150628109127</v>
      </c>
      <c r="AX88" s="27" t="b">
        <v>0</v>
      </c>
      <c r="AY88" s="27" t="s">
        <v>112</v>
      </c>
      <c r="AZ88" s="27" t="s">
        <v>113</v>
      </c>
      <c r="BA88" s="27">
        <v>0</v>
      </c>
      <c r="BB88" s="27">
        <v>0</v>
      </c>
      <c r="BC88" s="27" t="s">
        <v>677</v>
      </c>
      <c r="BD88" s="27" t="s">
        <v>678</v>
      </c>
      <c r="BE88" s="27" t="s">
        <v>679</v>
      </c>
      <c r="BF88" s="27" t="s">
        <v>679</v>
      </c>
      <c r="BJ88" s="27" t="s">
        <v>1252</v>
      </c>
    </row>
    <row r="89" spans="1:62" s="27" customFormat="1" hidden="1" x14ac:dyDescent="0.25">
      <c r="A89" s="27" t="s">
        <v>680</v>
      </c>
      <c r="B89" s="27" t="s">
        <v>681</v>
      </c>
      <c r="C89" s="27">
        <v>1</v>
      </c>
      <c r="D89" s="27" t="s">
        <v>682</v>
      </c>
      <c r="E89" s="27" t="s">
        <v>65</v>
      </c>
      <c r="F89" s="27">
        <v>120</v>
      </c>
      <c r="G89" s="27">
        <v>300</v>
      </c>
      <c r="H89" s="27">
        <v>145</v>
      </c>
      <c r="I89" s="27">
        <v>295</v>
      </c>
      <c r="J89" s="27">
        <v>-150</v>
      </c>
      <c r="K89" s="27">
        <v>180</v>
      </c>
      <c r="L89" s="27">
        <v>110</v>
      </c>
      <c r="M89" s="27" t="s">
        <v>683</v>
      </c>
      <c r="N89" s="27" t="s">
        <v>67</v>
      </c>
      <c r="O89" s="27" t="s">
        <v>329</v>
      </c>
      <c r="P89" s="27" t="s">
        <v>69</v>
      </c>
      <c r="R89" s="27" t="s">
        <v>70</v>
      </c>
      <c r="S89" s="27" t="s">
        <v>684</v>
      </c>
      <c r="T89" s="27" t="s">
        <v>91</v>
      </c>
      <c r="U89" s="27">
        <v>1906.49</v>
      </c>
      <c r="V89" s="27">
        <v>190</v>
      </c>
      <c r="W89" s="27">
        <v>10.029999999999999</v>
      </c>
      <c r="X89" s="28">
        <v>45278</v>
      </c>
      <c r="Y89" s="27" t="s">
        <v>92</v>
      </c>
      <c r="Z89" s="27">
        <v>108</v>
      </c>
      <c r="AA89" s="27">
        <v>55</v>
      </c>
      <c r="AB89" s="27">
        <v>145</v>
      </c>
      <c r="AC89" s="27">
        <v>47</v>
      </c>
      <c r="AD89" s="27">
        <v>17</v>
      </c>
      <c r="AE89" s="27">
        <v>78</v>
      </c>
      <c r="AF89" s="27">
        <v>147</v>
      </c>
      <c r="AG89" s="27">
        <v>68</v>
      </c>
      <c r="AH89" s="27">
        <v>83</v>
      </c>
      <c r="AO89" s="27" t="s">
        <v>685</v>
      </c>
      <c r="AP89" s="27">
        <v>0</v>
      </c>
      <c r="AQ89" s="27">
        <v>0</v>
      </c>
      <c r="AR89" s="27">
        <v>0</v>
      </c>
      <c r="AS89" s="27">
        <v>0</v>
      </c>
      <c r="AT89" s="27">
        <v>0</v>
      </c>
      <c r="AU89" s="27" t="s">
        <v>75</v>
      </c>
      <c r="AV89" s="27">
        <v>1</v>
      </c>
      <c r="AW89" s="27">
        <v>0.49529875390008132</v>
      </c>
      <c r="AX89" s="27" t="b">
        <v>0</v>
      </c>
      <c r="AY89" s="27" t="s">
        <v>388</v>
      </c>
      <c r="AZ89" s="27" t="s">
        <v>389</v>
      </c>
      <c r="BA89" s="27">
        <v>0</v>
      </c>
      <c r="BB89" s="27">
        <v>0</v>
      </c>
      <c r="BC89" s="27" t="s">
        <v>686</v>
      </c>
      <c r="BD89" s="27" t="s">
        <v>687</v>
      </c>
      <c r="BE89" s="27" t="s">
        <v>688</v>
      </c>
      <c r="BF89" s="27" t="s">
        <v>689</v>
      </c>
      <c r="BJ89" s="27" t="s">
        <v>1252</v>
      </c>
    </row>
    <row r="90" spans="1:62" s="27" customFormat="1" x14ac:dyDescent="0.25">
      <c r="X90" s="28"/>
    </row>
    <row r="91" spans="1:62" s="25" customFormat="1" x14ac:dyDescent="0.25">
      <c r="X91" s="26"/>
    </row>
    <row r="92" spans="1:62" s="27" customFormat="1" hidden="1" x14ac:dyDescent="0.25">
      <c r="A92" s="27" t="s">
        <v>690</v>
      </c>
      <c r="B92" s="27" t="s">
        <v>691</v>
      </c>
      <c r="C92" s="27">
        <v>22</v>
      </c>
      <c r="D92" s="27" t="s">
        <v>692</v>
      </c>
      <c r="E92" s="27" t="s">
        <v>85</v>
      </c>
      <c r="F92" s="27">
        <v>21</v>
      </c>
      <c r="G92" s="27">
        <v>60</v>
      </c>
      <c r="H92" s="27">
        <v>24</v>
      </c>
      <c r="I92" s="27">
        <v>59</v>
      </c>
      <c r="J92" s="27">
        <v>-4</v>
      </c>
      <c r="K92" s="27">
        <v>180</v>
      </c>
      <c r="L92" s="27">
        <v>16</v>
      </c>
      <c r="M92" s="27" t="s">
        <v>693</v>
      </c>
      <c r="N92" s="27" t="s">
        <v>67</v>
      </c>
      <c r="O92" s="27" t="s">
        <v>694</v>
      </c>
      <c r="P92" s="27" t="s">
        <v>69</v>
      </c>
      <c r="R92" s="27" t="s">
        <v>89</v>
      </c>
      <c r="S92" s="27" t="s">
        <v>71</v>
      </c>
      <c r="T92" s="27" t="s">
        <v>91</v>
      </c>
      <c r="U92" s="27">
        <v>120.38</v>
      </c>
      <c r="V92" s="27">
        <v>50</v>
      </c>
      <c r="W92" s="27">
        <v>2.41</v>
      </c>
      <c r="X92" s="28">
        <v>45139</v>
      </c>
      <c r="Y92" s="27" t="s">
        <v>92</v>
      </c>
      <c r="Z92" s="27">
        <v>20</v>
      </c>
      <c r="AA92" s="27">
        <v>24</v>
      </c>
      <c r="AB92" s="27">
        <v>6</v>
      </c>
      <c r="AC92" s="27">
        <v>36</v>
      </c>
      <c r="AD92" s="27">
        <v>0</v>
      </c>
      <c r="AE92" s="27">
        <v>18</v>
      </c>
      <c r="AF92" s="27">
        <v>1</v>
      </c>
      <c r="AG92" s="27">
        <v>6</v>
      </c>
      <c r="AH92" s="27">
        <v>8</v>
      </c>
      <c r="AO92" s="27" t="s">
        <v>695</v>
      </c>
      <c r="AP92" s="27">
        <v>0</v>
      </c>
      <c r="AQ92" s="27">
        <v>0</v>
      </c>
      <c r="AR92" s="27">
        <v>0</v>
      </c>
      <c r="AS92" s="27">
        <v>0</v>
      </c>
      <c r="AT92" s="27">
        <v>944</v>
      </c>
      <c r="AU92" s="27" t="s">
        <v>75</v>
      </c>
      <c r="AV92" s="27">
        <v>1.125</v>
      </c>
      <c r="AW92" s="27">
        <v>0.85846001943678218</v>
      </c>
      <c r="AX92" s="27" t="b">
        <v>0</v>
      </c>
      <c r="AY92" s="27" t="s">
        <v>310</v>
      </c>
      <c r="AZ92" s="27" t="s">
        <v>311</v>
      </c>
      <c r="BA92" s="27">
        <v>0</v>
      </c>
      <c r="BB92" s="27">
        <v>0</v>
      </c>
      <c r="BC92" s="27" t="s">
        <v>696</v>
      </c>
      <c r="BD92" s="27" t="s">
        <v>697</v>
      </c>
      <c r="BE92" s="27" t="s">
        <v>698</v>
      </c>
      <c r="BF92" s="27" t="s">
        <v>698</v>
      </c>
      <c r="BJ92" s="27" t="s">
        <v>1252</v>
      </c>
    </row>
    <row r="93" spans="1:62" s="27" customFormat="1" hidden="1" x14ac:dyDescent="0.25">
      <c r="A93" s="27" t="s">
        <v>699</v>
      </c>
      <c r="B93" s="27" t="s">
        <v>700</v>
      </c>
      <c r="C93" s="27">
        <v>1</v>
      </c>
      <c r="D93" s="27" t="s">
        <v>701</v>
      </c>
      <c r="E93" s="27" t="s">
        <v>85</v>
      </c>
      <c r="F93" s="27">
        <v>48</v>
      </c>
      <c r="G93" s="27">
        <v>113</v>
      </c>
      <c r="H93" s="27">
        <v>45</v>
      </c>
      <c r="I93" s="27">
        <v>144</v>
      </c>
      <c r="J93" s="27">
        <v>90</v>
      </c>
      <c r="K93" s="27">
        <v>120</v>
      </c>
      <c r="L93" s="27">
        <v>9</v>
      </c>
      <c r="M93" s="27" t="s">
        <v>702</v>
      </c>
      <c r="N93" s="27" t="s">
        <v>102</v>
      </c>
      <c r="O93" s="27" t="s">
        <v>703</v>
      </c>
      <c r="P93" s="27" t="s">
        <v>69</v>
      </c>
      <c r="R93" s="27" t="s">
        <v>89</v>
      </c>
      <c r="S93" s="27" t="s">
        <v>704</v>
      </c>
      <c r="T93" s="27" t="s">
        <v>705</v>
      </c>
      <c r="U93" s="27">
        <v>555.71</v>
      </c>
      <c r="V93" s="27">
        <v>104</v>
      </c>
      <c r="W93" s="27">
        <v>5.34</v>
      </c>
      <c r="X93" s="28">
        <v>45517</v>
      </c>
      <c r="Y93" s="27" t="s">
        <v>73</v>
      </c>
      <c r="Z93" s="27">
        <v>104</v>
      </c>
      <c r="AA93" s="27">
        <v>45</v>
      </c>
      <c r="AB93" s="27">
        <v>4</v>
      </c>
      <c r="AC93" s="27">
        <v>23</v>
      </c>
      <c r="AD93" s="27">
        <v>10</v>
      </c>
      <c r="AE93" s="27">
        <v>63</v>
      </c>
      <c r="AF93" s="27">
        <v>5</v>
      </c>
      <c r="AG93" s="27">
        <v>2</v>
      </c>
      <c r="AH93" s="27">
        <v>41</v>
      </c>
      <c r="AI93" s="27">
        <v>0</v>
      </c>
      <c r="AJ93" s="27">
        <v>15</v>
      </c>
      <c r="AK93" s="27">
        <v>3</v>
      </c>
      <c r="AL93" s="27">
        <v>6</v>
      </c>
      <c r="AM93" s="27">
        <v>0</v>
      </c>
      <c r="AO93" s="27" t="s">
        <v>706</v>
      </c>
      <c r="AP93" s="27">
        <v>0</v>
      </c>
      <c r="AQ93" s="27">
        <v>3</v>
      </c>
      <c r="AR93" s="27">
        <v>0</v>
      </c>
      <c r="AS93" s="27">
        <v>0</v>
      </c>
      <c r="AT93" s="27">
        <v>3640</v>
      </c>
      <c r="AU93" s="27" t="s">
        <v>75</v>
      </c>
      <c r="AV93" s="27">
        <v>1.0909090909090911</v>
      </c>
      <c r="AW93" s="27">
        <v>1.1601991123715341</v>
      </c>
      <c r="AX93" s="27" t="b">
        <v>0</v>
      </c>
      <c r="AY93" s="27" t="s">
        <v>570</v>
      </c>
      <c r="AZ93" s="27" t="s">
        <v>571</v>
      </c>
      <c r="BA93" s="27">
        <v>0</v>
      </c>
      <c r="BB93" s="27">
        <v>0</v>
      </c>
      <c r="BC93" s="27" t="s">
        <v>707</v>
      </c>
      <c r="BD93" s="27" t="s">
        <v>708</v>
      </c>
      <c r="BE93" s="27" t="s">
        <v>709</v>
      </c>
      <c r="BF93" s="27" t="s">
        <v>709</v>
      </c>
      <c r="BJ93" s="27" t="s">
        <v>1252</v>
      </c>
    </row>
    <row r="94" spans="1:62" s="25" customFormat="1" x14ac:dyDescent="0.25"/>
    <row r="95" spans="1:62" s="27" customFormat="1" hidden="1" x14ac:dyDescent="0.25">
      <c r="A95" s="27" t="s">
        <v>711</v>
      </c>
      <c r="B95" s="27" t="s">
        <v>712</v>
      </c>
      <c r="C95" s="27">
        <v>36</v>
      </c>
      <c r="D95" s="27" t="s">
        <v>713</v>
      </c>
      <c r="E95" s="27" t="s">
        <v>85</v>
      </c>
      <c r="F95" s="27">
        <v>50</v>
      </c>
      <c r="G95" s="27">
        <v>100</v>
      </c>
      <c r="H95" s="27">
        <v>20</v>
      </c>
      <c r="I95" s="27">
        <v>215</v>
      </c>
      <c r="J95" s="27">
        <v>63</v>
      </c>
      <c r="K95" s="27">
        <v>180</v>
      </c>
      <c r="L95" s="27">
        <v>46</v>
      </c>
      <c r="M95" s="27" t="s">
        <v>714</v>
      </c>
      <c r="N95" s="27" t="s">
        <v>67</v>
      </c>
      <c r="O95" s="27" t="s">
        <v>715</v>
      </c>
      <c r="P95" s="27" t="s">
        <v>69</v>
      </c>
      <c r="R95" s="27" t="s">
        <v>121</v>
      </c>
      <c r="S95" s="27" t="s">
        <v>71</v>
      </c>
      <c r="T95" s="27" t="s">
        <v>716</v>
      </c>
      <c r="U95" s="27">
        <v>52.33</v>
      </c>
      <c r="V95" s="27">
        <v>60</v>
      </c>
      <c r="W95" s="27">
        <v>0.87</v>
      </c>
      <c r="X95" s="28">
        <v>44981</v>
      </c>
      <c r="Y95" s="27" t="s">
        <v>161</v>
      </c>
      <c r="Z95" s="27">
        <v>15</v>
      </c>
      <c r="AA95" s="27">
        <v>0</v>
      </c>
      <c r="AB95" s="27">
        <v>112</v>
      </c>
      <c r="AC95" s="27">
        <v>34</v>
      </c>
      <c r="AD95" s="27">
        <v>20</v>
      </c>
      <c r="AE95" s="27">
        <v>13</v>
      </c>
      <c r="AF95" s="27">
        <v>0</v>
      </c>
      <c r="AG95" s="27">
        <v>0</v>
      </c>
      <c r="AH95" s="27">
        <v>0</v>
      </c>
      <c r="AO95" s="27" t="s">
        <v>717</v>
      </c>
      <c r="AP95" s="27">
        <v>0</v>
      </c>
      <c r="AQ95" s="27">
        <v>57</v>
      </c>
      <c r="AR95" s="27">
        <v>0</v>
      </c>
      <c r="AS95" s="27">
        <v>0</v>
      </c>
      <c r="AT95" s="27">
        <v>611</v>
      </c>
      <c r="AU95" s="27" t="s">
        <v>75</v>
      </c>
      <c r="AV95" s="27">
        <v>1.8</v>
      </c>
      <c r="AW95" s="27">
        <v>1.570347098435664</v>
      </c>
      <c r="AX95" s="27" t="b">
        <v>0</v>
      </c>
      <c r="AY95" s="27" t="s">
        <v>112</v>
      </c>
      <c r="AZ95" s="27" t="s">
        <v>113</v>
      </c>
      <c r="BA95" s="27">
        <v>0</v>
      </c>
      <c r="BB95" s="27">
        <v>0</v>
      </c>
      <c r="BC95" s="27" t="s">
        <v>718</v>
      </c>
      <c r="BD95" s="27" t="s">
        <v>719</v>
      </c>
      <c r="BE95" s="27" t="s">
        <v>720</v>
      </c>
      <c r="BF95" s="27" t="s">
        <v>720</v>
      </c>
      <c r="BJ95" s="27" t="s">
        <v>1252</v>
      </c>
    </row>
    <row r="96" spans="1:62" s="27" customFormat="1" x14ac:dyDescent="0.25">
      <c r="X96" s="28"/>
    </row>
    <row r="97" spans="1:62" s="27" customFormat="1" hidden="1" x14ac:dyDescent="0.25">
      <c r="A97" s="27" t="s">
        <v>721</v>
      </c>
      <c r="B97" s="27" t="s">
        <v>722</v>
      </c>
      <c r="C97" s="27">
        <v>50</v>
      </c>
      <c r="D97" s="27" t="s">
        <v>723</v>
      </c>
      <c r="E97" s="27" t="s">
        <v>85</v>
      </c>
      <c r="F97" s="27">
        <v>15</v>
      </c>
      <c r="G97" s="27">
        <v>40</v>
      </c>
      <c r="H97" s="27">
        <v>9</v>
      </c>
      <c r="I97" s="27">
        <v>28</v>
      </c>
      <c r="J97" s="27">
        <v>-175</v>
      </c>
      <c r="K97" s="27">
        <v>150</v>
      </c>
      <c r="L97" s="27">
        <v>0</v>
      </c>
      <c r="M97" s="27" t="s">
        <v>724</v>
      </c>
      <c r="N97" s="27" t="s">
        <v>102</v>
      </c>
      <c r="O97" s="27" t="s">
        <v>122</v>
      </c>
      <c r="P97" s="27" t="s">
        <v>69</v>
      </c>
      <c r="Q97" s="27">
        <v>2</v>
      </c>
      <c r="R97" s="27" t="s">
        <v>70</v>
      </c>
      <c r="S97" s="27" t="s">
        <v>725</v>
      </c>
      <c r="T97" s="27" t="s">
        <v>726</v>
      </c>
      <c r="U97" s="27">
        <v>2334.77</v>
      </c>
      <c r="V97" s="27">
        <v>40</v>
      </c>
      <c r="W97" s="27">
        <v>58.37</v>
      </c>
      <c r="X97" s="28">
        <v>45440</v>
      </c>
      <c r="Y97" s="27" t="s">
        <v>73</v>
      </c>
      <c r="Z97" s="27">
        <v>14</v>
      </c>
      <c r="AA97" s="27">
        <v>10</v>
      </c>
      <c r="AB97" s="27">
        <v>7</v>
      </c>
      <c r="AC97" s="27">
        <v>8</v>
      </c>
      <c r="AD97" s="27">
        <v>8</v>
      </c>
      <c r="AE97" s="27">
        <v>8</v>
      </c>
      <c r="AF97" s="27">
        <v>0</v>
      </c>
      <c r="AG97" s="27">
        <v>9</v>
      </c>
      <c r="AH97" s="27">
        <v>1</v>
      </c>
      <c r="AI97" s="27">
        <v>6</v>
      </c>
      <c r="AJ97" s="27">
        <v>0</v>
      </c>
      <c r="AO97" s="27" t="s">
        <v>727</v>
      </c>
      <c r="AP97" s="27">
        <v>0</v>
      </c>
      <c r="AQ97" s="27">
        <v>40</v>
      </c>
      <c r="AR97" s="27">
        <v>0</v>
      </c>
      <c r="AS97" s="27">
        <v>3</v>
      </c>
      <c r="AT97" s="27">
        <v>0</v>
      </c>
      <c r="AU97" s="27" t="s">
        <v>75</v>
      </c>
      <c r="AV97" s="27">
        <v>1.2222222222222221</v>
      </c>
      <c r="AW97" s="27">
        <v>0.65519455490777501</v>
      </c>
      <c r="AX97" s="27" t="b">
        <v>0</v>
      </c>
      <c r="AY97" s="27" t="s">
        <v>203</v>
      </c>
      <c r="AZ97" s="27" t="s">
        <v>204</v>
      </c>
      <c r="BA97" s="27">
        <v>0</v>
      </c>
      <c r="BB97" s="27">
        <v>0</v>
      </c>
      <c r="BC97" s="27" t="s">
        <v>728</v>
      </c>
      <c r="BD97" s="27" t="s">
        <v>729</v>
      </c>
      <c r="BE97" s="27" t="s">
        <v>730</v>
      </c>
      <c r="BF97" s="27" t="s">
        <v>730</v>
      </c>
      <c r="BI97" s="27" t="s">
        <v>731</v>
      </c>
      <c r="BJ97" s="27" t="s">
        <v>1252</v>
      </c>
    </row>
    <row r="98" spans="1:62" s="25" customFormat="1" hidden="1" x14ac:dyDescent="0.25">
      <c r="A98" s="25" t="s">
        <v>732</v>
      </c>
      <c r="B98" s="25" t="s">
        <v>733</v>
      </c>
      <c r="C98" s="25">
        <v>8</v>
      </c>
      <c r="D98" s="25" t="s">
        <v>734</v>
      </c>
      <c r="E98" s="25" t="s">
        <v>85</v>
      </c>
      <c r="F98" s="25">
        <v>6</v>
      </c>
      <c r="G98" s="25">
        <v>12</v>
      </c>
      <c r="J98" s="25">
        <v>0</v>
      </c>
      <c r="K98" s="25">
        <v>180</v>
      </c>
      <c r="L98" s="25">
        <v>2</v>
      </c>
      <c r="M98" s="25" t="s">
        <v>735</v>
      </c>
      <c r="N98" s="25" t="s">
        <v>102</v>
      </c>
      <c r="O98" s="25" t="s">
        <v>736</v>
      </c>
      <c r="P98" s="25" t="s">
        <v>345</v>
      </c>
      <c r="Q98" s="25">
        <v>2</v>
      </c>
      <c r="R98" s="25" t="s">
        <v>89</v>
      </c>
      <c r="S98" s="25" t="s">
        <v>737</v>
      </c>
      <c r="U98" s="25">
        <v>11736.03</v>
      </c>
      <c r="V98" s="25">
        <v>10</v>
      </c>
      <c r="W98" s="25">
        <v>1173.5999999999999</v>
      </c>
      <c r="X98" s="26">
        <v>45251</v>
      </c>
      <c r="Z98" s="25">
        <v>19</v>
      </c>
      <c r="AA98" s="25">
        <v>10</v>
      </c>
      <c r="AB98" s="25">
        <v>6</v>
      </c>
      <c r="AC98" s="25">
        <v>1</v>
      </c>
      <c r="AD98" s="25">
        <v>5</v>
      </c>
      <c r="AE98" s="25">
        <v>5</v>
      </c>
      <c r="AF98" s="25">
        <v>8</v>
      </c>
      <c r="AG98" s="25">
        <v>43</v>
      </c>
      <c r="AH98" s="25">
        <v>1</v>
      </c>
      <c r="AO98" s="25" t="s">
        <v>738</v>
      </c>
      <c r="AP98" s="25">
        <v>0</v>
      </c>
      <c r="AQ98" s="25">
        <v>18</v>
      </c>
      <c r="AR98" s="25">
        <v>0</v>
      </c>
      <c r="AS98" s="25">
        <v>90</v>
      </c>
      <c r="AT98" s="25">
        <v>3325</v>
      </c>
      <c r="AU98" s="25" t="s">
        <v>75</v>
      </c>
      <c r="AV98" s="25">
        <v>1</v>
      </c>
      <c r="AW98" s="25">
        <v>1.143312591463616</v>
      </c>
      <c r="AX98" s="25" t="b">
        <v>0</v>
      </c>
      <c r="AY98" s="25" t="s">
        <v>739</v>
      </c>
      <c r="AZ98" s="25" t="s">
        <v>740</v>
      </c>
      <c r="BA98" s="25">
        <v>0</v>
      </c>
      <c r="BB98" s="25">
        <v>0</v>
      </c>
      <c r="BC98" s="25" t="s">
        <v>741</v>
      </c>
      <c r="BD98" s="25" t="s">
        <v>742</v>
      </c>
      <c r="BG98" s="25" t="s">
        <v>743</v>
      </c>
      <c r="BH98" s="25" t="s">
        <v>744</v>
      </c>
      <c r="BI98" s="25" t="s">
        <v>745</v>
      </c>
      <c r="BJ98" s="25" t="s">
        <v>1253</v>
      </c>
    </row>
    <row r="99" spans="1:62" s="27" customFormat="1" x14ac:dyDescent="0.25"/>
    <row r="100" spans="1:62" s="27" customFormat="1" x14ac:dyDescent="0.25">
      <c r="X100" s="28"/>
    </row>
    <row r="101" spans="1:62" s="25" customFormat="1" hidden="1" x14ac:dyDescent="0.25">
      <c r="A101" s="25" t="s">
        <v>746</v>
      </c>
      <c r="B101" s="25" t="s">
        <v>747</v>
      </c>
      <c r="C101" s="25">
        <v>1</v>
      </c>
      <c r="D101" s="25" t="s">
        <v>748</v>
      </c>
      <c r="E101" s="25" t="s">
        <v>127</v>
      </c>
      <c r="F101" s="25">
        <v>2</v>
      </c>
      <c r="G101" s="25">
        <v>2</v>
      </c>
      <c r="H101" s="25">
        <v>90</v>
      </c>
      <c r="I101" s="25">
        <v>122</v>
      </c>
      <c r="J101" s="25">
        <v>6791</v>
      </c>
      <c r="K101" s="25">
        <v>120</v>
      </c>
      <c r="L101" s="25">
        <v>1</v>
      </c>
      <c r="M101" s="25" t="s">
        <v>749</v>
      </c>
      <c r="N101" s="25" t="s">
        <v>102</v>
      </c>
      <c r="O101" s="25" t="s">
        <v>88</v>
      </c>
      <c r="P101" s="25" t="s">
        <v>69</v>
      </c>
      <c r="R101" s="25" t="s">
        <v>121</v>
      </c>
      <c r="S101" s="25" t="s">
        <v>750</v>
      </c>
      <c r="T101" s="25" t="s">
        <v>91</v>
      </c>
      <c r="U101" s="25">
        <v>424.48</v>
      </c>
      <c r="V101" s="25">
        <v>1</v>
      </c>
      <c r="W101" s="25">
        <v>424.48</v>
      </c>
      <c r="X101" s="26">
        <v>45553</v>
      </c>
      <c r="Y101" s="25" t="s">
        <v>92</v>
      </c>
      <c r="Z101" s="25">
        <v>0</v>
      </c>
      <c r="AA101" s="25">
        <v>93</v>
      </c>
      <c r="AB101" s="25">
        <v>1</v>
      </c>
      <c r="AC101" s="25">
        <v>1</v>
      </c>
      <c r="AD101" s="25">
        <v>0</v>
      </c>
      <c r="AE101" s="25">
        <v>0</v>
      </c>
      <c r="AF101" s="25">
        <v>0</v>
      </c>
      <c r="AG101" s="25">
        <v>1</v>
      </c>
      <c r="AH101" s="25">
        <v>0</v>
      </c>
      <c r="AI101" s="25">
        <v>0</v>
      </c>
      <c r="AJ101" s="25">
        <v>0</v>
      </c>
      <c r="AK101" s="25">
        <v>90</v>
      </c>
      <c r="AL101" s="25">
        <v>0</v>
      </c>
      <c r="AM101" s="25">
        <v>3</v>
      </c>
      <c r="AO101" s="25" t="s">
        <v>751</v>
      </c>
      <c r="AP101" s="25">
        <v>0</v>
      </c>
      <c r="AQ101" s="25">
        <v>2</v>
      </c>
      <c r="AR101" s="25">
        <v>0</v>
      </c>
      <c r="AS101" s="25">
        <v>0</v>
      </c>
      <c r="AT101" s="25">
        <v>12653</v>
      </c>
      <c r="AU101" s="25" t="s">
        <v>75</v>
      </c>
      <c r="AV101" s="25">
        <v>2.4</v>
      </c>
      <c r="AW101" s="25">
        <v>2.1933111826205902</v>
      </c>
      <c r="AX101" s="25" t="b">
        <v>0</v>
      </c>
      <c r="AY101" s="25" t="s">
        <v>752</v>
      </c>
      <c r="AZ101" s="25" t="s">
        <v>753</v>
      </c>
      <c r="BA101" s="25">
        <v>0</v>
      </c>
      <c r="BB101" s="25">
        <v>0</v>
      </c>
      <c r="BC101" s="25" t="s">
        <v>754</v>
      </c>
      <c r="BD101" s="25" t="s">
        <v>755</v>
      </c>
      <c r="BE101" s="25" t="s">
        <v>756</v>
      </c>
      <c r="BF101" s="25" t="s">
        <v>757</v>
      </c>
      <c r="BG101" s="25" t="s">
        <v>758</v>
      </c>
      <c r="BH101" s="25" t="s">
        <v>759</v>
      </c>
      <c r="BJ101" s="25" t="s">
        <v>1253</v>
      </c>
    </row>
    <row r="102" spans="1:62" s="27" customFormat="1" x14ac:dyDescent="0.25"/>
    <row r="103" spans="1:62" s="27" customFormat="1" hidden="1" x14ac:dyDescent="0.25">
      <c r="A103" s="27" t="s">
        <v>761</v>
      </c>
      <c r="B103" s="27" t="s">
        <v>126</v>
      </c>
      <c r="C103" s="27">
        <v>14</v>
      </c>
      <c r="D103" s="27" t="s">
        <v>762</v>
      </c>
      <c r="E103" s="27" t="s">
        <v>85</v>
      </c>
      <c r="F103" s="27">
        <v>5</v>
      </c>
      <c r="G103" s="27">
        <v>10</v>
      </c>
      <c r="J103" s="27">
        <v>0</v>
      </c>
      <c r="K103" s="27">
        <v>120</v>
      </c>
      <c r="L103" s="27">
        <v>0</v>
      </c>
      <c r="M103" s="27" t="s">
        <v>763</v>
      </c>
      <c r="N103" s="27" t="s">
        <v>67</v>
      </c>
      <c r="O103" s="27" t="s">
        <v>195</v>
      </c>
      <c r="P103" s="27" t="s">
        <v>128</v>
      </c>
      <c r="R103" s="27" t="s">
        <v>89</v>
      </c>
      <c r="S103" s="27" t="s">
        <v>71</v>
      </c>
      <c r="U103" s="27">
        <v>542.1</v>
      </c>
      <c r="V103" s="27">
        <v>10</v>
      </c>
      <c r="W103" s="27">
        <v>54.21</v>
      </c>
      <c r="X103" s="28">
        <v>44776</v>
      </c>
      <c r="Z103" s="27">
        <v>0</v>
      </c>
      <c r="AA103" s="27">
        <v>1</v>
      </c>
      <c r="AB103" s="27">
        <v>4</v>
      </c>
      <c r="AC103" s="27">
        <v>3</v>
      </c>
      <c r="AD103" s="27">
        <v>7</v>
      </c>
      <c r="AE103" s="27">
        <v>2</v>
      </c>
      <c r="AF103" s="27">
        <v>3</v>
      </c>
      <c r="AG103" s="27">
        <v>4</v>
      </c>
      <c r="AH103" s="27">
        <v>0</v>
      </c>
      <c r="AI103" s="27">
        <v>1</v>
      </c>
      <c r="AJ103" s="27">
        <v>6</v>
      </c>
      <c r="AK103" s="27">
        <v>0</v>
      </c>
      <c r="AL103" s="27">
        <v>6</v>
      </c>
      <c r="AM103" s="27">
        <v>6</v>
      </c>
      <c r="AO103" s="27" t="s">
        <v>764</v>
      </c>
      <c r="AP103" s="27">
        <v>0</v>
      </c>
      <c r="AQ103" s="27">
        <v>0</v>
      </c>
      <c r="AR103" s="27">
        <v>0</v>
      </c>
      <c r="AS103" s="27">
        <v>0</v>
      </c>
      <c r="AT103" s="27">
        <v>1625000</v>
      </c>
      <c r="AU103" s="27" t="s">
        <v>75</v>
      </c>
      <c r="AV103" s="27">
        <v>1.333333333333333</v>
      </c>
      <c r="AW103" s="27">
        <v>0.87216166674811457</v>
      </c>
      <c r="AX103" s="27" t="b">
        <v>0</v>
      </c>
      <c r="AY103" s="27" t="s">
        <v>124</v>
      </c>
      <c r="AZ103" s="27" t="s">
        <v>125</v>
      </c>
      <c r="BA103" s="27">
        <v>0</v>
      </c>
      <c r="BB103" s="27">
        <v>0</v>
      </c>
      <c r="BC103" s="27" t="s">
        <v>765</v>
      </c>
      <c r="BD103" s="27" t="s">
        <v>766</v>
      </c>
      <c r="BJ103" s="27" t="s">
        <v>1252</v>
      </c>
    </row>
    <row r="104" spans="1:62" s="27" customFormat="1" hidden="1" x14ac:dyDescent="0.25">
      <c r="A104" s="27" t="s">
        <v>767</v>
      </c>
      <c r="B104" s="27" t="s">
        <v>768</v>
      </c>
      <c r="C104" s="27">
        <v>1</v>
      </c>
      <c r="D104" s="27" t="s">
        <v>769</v>
      </c>
      <c r="E104" s="27" t="s">
        <v>65</v>
      </c>
      <c r="F104" s="27">
        <v>181</v>
      </c>
      <c r="G104" s="27">
        <v>261</v>
      </c>
      <c r="H104" s="27">
        <v>133</v>
      </c>
      <c r="I104" s="27">
        <v>350</v>
      </c>
      <c r="J104" s="27">
        <v>5814</v>
      </c>
      <c r="K104" s="27">
        <v>150</v>
      </c>
      <c r="L104" s="27">
        <v>156</v>
      </c>
      <c r="M104" s="27" t="s">
        <v>770</v>
      </c>
      <c r="N104" s="27" t="s">
        <v>67</v>
      </c>
      <c r="O104" s="27" t="s">
        <v>771</v>
      </c>
      <c r="P104" s="27" t="s">
        <v>69</v>
      </c>
      <c r="R104" s="27" t="s">
        <v>89</v>
      </c>
      <c r="S104" s="27" t="s">
        <v>772</v>
      </c>
      <c r="T104" s="27" t="s">
        <v>773</v>
      </c>
      <c r="U104" s="27">
        <v>8912.34</v>
      </c>
      <c r="V104" s="27">
        <v>105</v>
      </c>
      <c r="W104" s="27">
        <v>84.88</v>
      </c>
      <c r="X104" s="28">
        <v>45482</v>
      </c>
      <c r="Y104" s="27" t="s">
        <v>92</v>
      </c>
      <c r="Z104" s="27">
        <v>107</v>
      </c>
      <c r="AA104" s="27">
        <v>188</v>
      </c>
      <c r="AB104" s="27">
        <v>89</v>
      </c>
      <c r="AC104" s="27">
        <v>78</v>
      </c>
      <c r="AD104" s="27">
        <v>24</v>
      </c>
      <c r="AE104" s="27">
        <v>97</v>
      </c>
      <c r="AF104" s="27">
        <v>68</v>
      </c>
      <c r="AG104" s="27">
        <v>43</v>
      </c>
      <c r="AH104" s="27">
        <v>707</v>
      </c>
      <c r="AI104" s="27">
        <v>32</v>
      </c>
      <c r="AJ104" s="27">
        <v>133</v>
      </c>
      <c r="AO104" s="27" t="s">
        <v>774</v>
      </c>
      <c r="AP104" s="27">
        <v>0</v>
      </c>
      <c r="AQ104" s="27">
        <v>0</v>
      </c>
      <c r="AR104" s="27">
        <v>0</v>
      </c>
      <c r="AS104" s="27">
        <v>0</v>
      </c>
      <c r="AT104" s="27">
        <v>3198195</v>
      </c>
      <c r="AU104" s="27" t="s">
        <v>75</v>
      </c>
      <c r="AV104" s="27">
        <v>1</v>
      </c>
      <c r="AW104" s="27">
        <v>1.29326379025764</v>
      </c>
      <c r="AX104" s="27" t="b">
        <v>0</v>
      </c>
      <c r="AY104" s="27" t="s">
        <v>775</v>
      </c>
      <c r="AZ104" s="27" t="s">
        <v>776</v>
      </c>
      <c r="BA104" s="27">
        <v>0</v>
      </c>
      <c r="BB104" s="27">
        <v>0</v>
      </c>
      <c r="BC104" s="27" t="s">
        <v>777</v>
      </c>
      <c r="BD104" s="27" t="s">
        <v>778</v>
      </c>
      <c r="BE104" s="27" t="s">
        <v>779</v>
      </c>
      <c r="BF104" s="27" t="s">
        <v>780</v>
      </c>
      <c r="BJ104" s="27" t="s">
        <v>1252</v>
      </c>
    </row>
    <row r="105" spans="1:62" s="27" customFormat="1" hidden="1" x14ac:dyDescent="0.25">
      <c r="A105" s="27" t="s">
        <v>781</v>
      </c>
      <c r="B105" s="27" t="s">
        <v>233</v>
      </c>
      <c r="C105" s="27">
        <v>12</v>
      </c>
      <c r="D105" s="27" t="s">
        <v>782</v>
      </c>
      <c r="E105" s="27" t="s">
        <v>85</v>
      </c>
      <c r="F105" s="27">
        <v>10</v>
      </c>
      <c r="G105" s="27">
        <v>20</v>
      </c>
      <c r="H105" s="27">
        <v>6</v>
      </c>
      <c r="I105" s="27">
        <v>18</v>
      </c>
      <c r="J105" s="27">
        <v>19</v>
      </c>
      <c r="K105" s="27">
        <v>150</v>
      </c>
      <c r="L105" s="27">
        <v>9</v>
      </c>
      <c r="M105" s="27" t="s">
        <v>783</v>
      </c>
      <c r="N105" s="27" t="s">
        <v>102</v>
      </c>
      <c r="O105" s="27" t="s">
        <v>146</v>
      </c>
      <c r="P105" s="27" t="s">
        <v>69</v>
      </c>
      <c r="R105" s="27" t="s">
        <v>70</v>
      </c>
      <c r="S105" s="27" t="s">
        <v>784</v>
      </c>
      <c r="T105" s="27" t="s">
        <v>785</v>
      </c>
      <c r="U105" s="27">
        <v>219.21</v>
      </c>
      <c r="V105" s="27">
        <v>11</v>
      </c>
      <c r="W105" s="27">
        <v>19.93</v>
      </c>
      <c r="X105" s="28">
        <v>45314</v>
      </c>
      <c r="Y105" s="27" t="s">
        <v>92</v>
      </c>
      <c r="Z105" s="27">
        <v>6</v>
      </c>
      <c r="AA105" s="27">
        <v>3</v>
      </c>
      <c r="AB105" s="27">
        <v>4</v>
      </c>
      <c r="AC105" s="27">
        <v>4</v>
      </c>
      <c r="AD105" s="27">
        <v>6</v>
      </c>
      <c r="AE105" s="27">
        <v>6</v>
      </c>
      <c r="AF105" s="27">
        <v>5</v>
      </c>
      <c r="AG105" s="27">
        <v>7</v>
      </c>
      <c r="AH105" s="27">
        <v>3</v>
      </c>
      <c r="AI105" s="27">
        <v>13</v>
      </c>
      <c r="AJ105" s="27">
        <v>0</v>
      </c>
      <c r="AO105" s="27" t="s">
        <v>786</v>
      </c>
      <c r="AP105" s="27">
        <v>0</v>
      </c>
      <c r="AQ105" s="27">
        <v>0</v>
      </c>
      <c r="AR105" s="27">
        <v>0</v>
      </c>
      <c r="AS105" s="27">
        <v>0</v>
      </c>
      <c r="AT105" s="27">
        <v>3630</v>
      </c>
      <c r="AU105" s="27" t="s">
        <v>75</v>
      </c>
      <c r="AV105" s="27">
        <v>1.1000000000000001</v>
      </c>
      <c r="AW105" s="27">
        <v>0.59803721224769513</v>
      </c>
      <c r="AX105" s="27" t="b">
        <v>0</v>
      </c>
      <c r="AY105" s="27" t="s">
        <v>787</v>
      </c>
      <c r="AZ105" s="27" t="s">
        <v>788</v>
      </c>
      <c r="BA105" s="27">
        <v>0</v>
      </c>
      <c r="BB105" s="27">
        <v>0</v>
      </c>
      <c r="BC105" s="27" t="s">
        <v>789</v>
      </c>
      <c r="BD105" s="27" t="s">
        <v>790</v>
      </c>
      <c r="BG105" s="27" t="s">
        <v>791</v>
      </c>
      <c r="BH105" s="27" t="s">
        <v>792</v>
      </c>
      <c r="BJ105" s="27" t="s">
        <v>1252</v>
      </c>
    </row>
    <row r="106" spans="1:62" s="27" customFormat="1" hidden="1" x14ac:dyDescent="0.25">
      <c r="A106" s="27" t="s">
        <v>793</v>
      </c>
      <c r="B106" s="27" t="s">
        <v>794</v>
      </c>
      <c r="C106" s="27">
        <v>8</v>
      </c>
      <c r="D106" s="27" t="s">
        <v>795</v>
      </c>
      <c r="E106" s="27" t="s">
        <v>85</v>
      </c>
      <c r="F106" s="27">
        <v>2</v>
      </c>
      <c r="G106" s="27">
        <v>6</v>
      </c>
      <c r="H106" s="27">
        <v>1</v>
      </c>
      <c r="I106" s="27">
        <v>3</v>
      </c>
      <c r="J106" s="27">
        <v>-31</v>
      </c>
      <c r="K106" s="27">
        <v>120</v>
      </c>
      <c r="L106" s="27">
        <v>1</v>
      </c>
      <c r="M106" s="27" t="s">
        <v>796</v>
      </c>
      <c r="N106" s="27" t="s">
        <v>102</v>
      </c>
      <c r="O106" s="27" t="s">
        <v>146</v>
      </c>
      <c r="P106" s="27" t="s">
        <v>69</v>
      </c>
      <c r="Q106" s="27">
        <v>2</v>
      </c>
      <c r="R106" s="27" t="s">
        <v>121</v>
      </c>
      <c r="S106" s="27" t="s">
        <v>797</v>
      </c>
      <c r="T106" s="27" t="s">
        <v>91</v>
      </c>
      <c r="U106" s="27">
        <v>155.94999999999999</v>
      </c>
      <c r="V106" s="27">
        <v>5</v>
      </c>
      <c r="W106" s="27">
        <v>31.19</v>
      </c>
      <c r="X106" s="28">
        <v>44972</v>
      </c>
      <c r="Y106" s="27" t="s">
        <v>123</v>
      </c>
      <c r="Z106" s="27">
        <v>4</v>
      </c>
      <c r="AA106" s="27">
        <v>0</v>
      </c>
      <c r="AB106" s="27">
        <v>0</v>
      </c>
      <c r="AC106" s="27">
        <v>0</v>
      </c>
      <c r="AD106" s="27">
        <v>0</v>
      </c>
      <c r="AE106" s="27">
        <v>1</v>
      </c>
      <c r="AF106" s="27">
        <v>0</v>
      </c>
      <c r="AG106" s="27">
        <v>0</v>
      </c>
      <c r="AH106" s="27">
        <v>0</v>
      </c>
      <c r="AI106" s="27">
        <v>0</v>
      </c>
      <c r="AJ106" s="27">
        <v>0</v>
      </c>
      <c r="AK106" s="27">
        <v>0</v>
      </c>
      <c r="AL106" s="27">
        <v>0</v>
      </c>
      <c r="AM106" s="27">
        <v>0</v>
      </c>
      <c r="AO106" s="27" t="s">
        <v>798</v>
      </c>
      <c r="AP106" s="27">
        <v>0</v>
      </c>
      <c r="AQ106" s="27">
        <v>0</v>
      </c>
      <c r="AR106" s="27">
        <v>0</v>
      </c>
      <c r="AS106" s="27">
        <v>5</v>
      </c>
      <c r="AT106" s="27">
        <v>1023</v>
      </c>
      <c r="AU106" s="27" t="s">
        <v>75</v>
      </c>
      <c r="AV106" s="27">
        <v>6</v>
      </c>
      <c r="AW106" s="27">
        <v>2.6758176320519298</v>
      </c>
      <c r="AX106" s="27" t="b">
        <v>0</v>
      </c>
      <c r="AY106" s="27" t="s">
        <v>249</v>
      </c>
      <c r="AZ106" s="27" t="s">
        <v>250</v>
      </c>
      <c r="BA106" s="27">
        <v>0</v>
      </c>
      <c r="BB106" s="27">
        <v>0</v>
      </c>
      <c r="BC106" s="27" t="s">
        <v>799</v>
      </c>
      <c r="BD106" s="27" t="s">
        <v>800</v>
      </c>
      <c r="BE106" s="27" t="s">
        <v>801</v>
      </c>
      <c r="BF106" s="27" t="s">
        <v>802</v>
      </c>
      <c r="BG106" s="27" t="s">
        <v>801</v>
      </c>
      <c r="BH106" s="27" t="s">
        <v>802</v>
      </c>
      <c r="BI106" s="27" t="s">
        <v>803</v>
      </c>
      <c r="BJ106" s="27" t="s">
        <v>1252</v>
      </c>
    </row>
    <row r="107" spans="1:62" hidden="1" x14ac:dyDescent="0.25">
      <c r="A107" t="s">
        <v>804</v>
      </c>
      <c r="B107" t="s">
        <v>304</v>
      </c>
      <c r="C107">
        <v>14</v>
      </c>
      <c r="D107" t="s">
        <v>805</v>
      </c>
      <c r="E107" t="s">
        <v>85</v>
      </c>
      <c r="F107">
        <v>2</v>
      </c>
      <c r="G107">
        <v>3</v>
      </c>
      <c r="H107">
        <v>3</v>
      </c>
      <c r="I107">
        <v>6</v>
      </c>
      <c r="J107">
        <v>257</v>
      </c>
      <c r="K107">
        <v>150</v>
      </c>
      <c r="L107">
        <v>0</v>
      </c>
      <c r="M107" t="s">
        <v>806</v>
      </c>
      <c r="N107" t="s">
        <v>102</v>
      </c>
      <c r="O107" t="s">
        <v>771</v>
      </c>
      <c r="P107" t="s">
        <v>69</v>
      </c>
      <c r="R107" t="s">
        <v>70</v>
      </c>
      <c r="S107" t="s">
        <v>807</v>
      </c>
      <c r="T107" t="s">
        <v>91</v>
      </c>
      <c r="U107">
        <v>773.58</v>
      </c>
      <c r="V107">
        <v>3</v>
      </c>
      <c r="W107">
        <v>257.86</v>
      </c>
      <c r="X107" s="14">
        <v>45401</v>
      </c>
      <c r="Y107" t="s">
        <v>92</v>
      </c>
      <c r="Z107">
        <v>3</v>
      </c>
      <c r="AA107">
        <v>6</v>
      </c>
      <c r="AO107" t="s">
        <v>808</v>
      </c>
      <c r="AP107">
        <v>0</v>
      </c>
      <c r="AQ107">
        <v>0</v>
      </c>
      <c r="AR107">
        <v>0</v>
      </c>
      <c r="AS107">
        <v>0</v>
      </c>
      <c r="AT107">
        <v>89250</v>
      </c>
      <c r="AU107" t="s">
        <v>75</v>
      </c>
      <c r="AV107">
        <v>1</v>
      </c>
      <c r="AW107">
        <v>0.33333333333333331</v>
      </c>
      <c r="AX107" t="b">
        <v>0</v>
      </c>
      <c r="AY107" t="s">
        <v>136</v>
      </c>
      <c r="AZ107" t="s">
        <v>137</v>
      </c>
      <c r="BA107">
        <v>0</v>
      </c>
      <c r="BB107">
        <v>0</v>
      </c>
      <c r="BC107" t="s">
        <v>809</v>
      </c>
      <c r="BD107" t="s">
        <v>810</v>
      </c>
      <c r="BE107" t="s">
        <v>811</v>
      </c>
      <c r="BF107" t="s">
        <v>812</v>
      </c>
    </row>
    <row r="108" spans="1:62" s="27" customFormat="1" hidden="1" x14ac:dyDescent="0.25">
      <c r="A108" s="27" t="s">
        <v>813</v>
      </c>
      <c r="B108" s="27" t="s">
        <v>814</v>
      </c>
      <c r="C108" s="27">
        <v>27</v>
      </c>
      <c r="D108" s="27" t="s">
        <v>815</v>
      </c>
      <c r="E108" s="27" t="s">
        <v>85</v>
      </c>
      <c r="F108" s="27">
        <v>101</v>
      </c>
      <c r="G108" s="27">
        <v>150</v>
      </c>
      <c r="H108" s="27">
        <v>70</v>
      </c>
      <c r="I108" s="27">
        <v>121</v>
      </c>
      <c r="J108" s="27">
        <v>5</v>
      </c>
      <c r="K108" s="27">
        <v>150</v>
      </c>
      <c r="L108" s="27">
        <v>99</v>
      </c>
      <c r="M108" s="27" t="s">
        <v>816</v>
      </c>
      <c r="N108" s="27" t="s">
        <v>67</v>
      </c>
      <c r="O108" s="27" t="s">
        <v>120</v>
      </c>
      <c r="P108" s="27" t="s">
        <v>69</v>
      </c>
      <c r="R108" s="27" t="s">
        <v>121</v>
      </c>
      <c r="S108" s="27" t="s">
        <v>71</v>
      </c>
      <c r="T108" s="27" t="s">
        <v>91</v>
      </c>
      <c r="U108" s="27">
        <v>592.25</v>
      </c>
      <c r="V108" s="27">
        <v>100</v>
      </c>
      <c r="W108" s="27">
        <v>5.92</v>
      </c>
      <c r="X108" s="28">
        <v>44579</v>
      </c>
      <c r="Y108" s="27" t="s">
        <v>161</v>
      </c>
      <c r="Z108" s="27">
        <v>14</v>
      </c>
      <c r="AA108" s="27">
        <v>21</v>
      </c>
      <c r="AB108" s="27">
        <v>34</v>
      </c>
      <c r="AC108" s="27">
        <v>50</v>
      </c>
      <c r="AD108" s="27">
        <v>0</v>
      </c>
      <c r="AE108" s="27">
        <v>32</v>
      </c>
      <c r="AF108" s="27">
        <v>0</v>
      </c>
      <c r="AG108" s="27">
        <v>92</v>
      </c>
      <c r="AH108" s="27">
        <v>70</v>
      </c>
      <c r="AI108" s="27">
        <v>0</v>
      </c>
      <c r="AJ108" s="27">
        <v>0</v>
      </c>
      <c r="AO108" s="27" t="s">
        <v>817</v>
      </c>
      <c r="AP108" s="27">
        <v>0</v>
      </c>
      <c r="AQ108" s="27">
        <v>0</v>
      </c>
      <c r="AR108" s="27">
        <v>0</v>
      </c>
      <c r="AS108" s="27">
        <v>0</v>
      </c>
      <c r="AT108" s="27">
        <v>8208</v>
      </c>
      <c r="AU108" s="27" t="s">
        <v>75</v>
      </c>
      <c r="AV108" s="27">
        <v>1.571428571428571</v>
      </c>
      <c r="AW108" s="27">
        <v>1.047621323272375</v>
      </c>
      <c r="AX108" s="27" t="b">
        <v>0</v>
      </c>
      <c r="AY108" s="27" t="s">
        <v>423</v>
      </c>
      <c r="AZ108" s="27" t="s">
        <v>424</v>
      </c>
      <c r="BA108" s="27">
        <v>0</v>
      </c>
      <c r="BB108" s="27">
        <v>0</v>
      </c>
      <c r="BC108" s="27" t="s">
        <v>818</v>
      </c>
      <c r="BD108" s="27" t="s">
        <v>819</v>
      </c>
      <c r="BE108" s="27" t="s">
        <v>820</v>
      </c>
      <c r="BF108" s="27" t="s">
        <v>820</v>
      </c>
      <c r="BJ108" s="27" t="s">
        <v>1252</v>
      </c>
    </row>
    <row r="109" spans="1:62" s="25" customFormat="1" x14ac:dyDescent="0.25"/>
    <row r="110" spans="1:62" s="27" customFormat="1" hidden="1" x14ac:dyDescent="0.25">
      <c r="A110" s="27" t="s">
        <v>821</v>
      </c>
      <c r="B110" s="27" t="s">
        <v>822</v>
      </c>
      <c r="C110" s="27">
        <v>43</v>
      </c>
      <c r="D110" s="27" t="s">
        <v>823</v>
      </c>
      <c r="E110" s="27" t="s">
        <v>85</v>
      </c>
      <c r="F110" s="27">
        <v>7</v>
      </c>
      <c r="G110" s="27">
        <v>22</v>
      </c>
      <c r="H110" s="27">
        <v>6</v>
      </c>
      <c r="I110" s="27">
        <v>14</v>
      </c>
      <c r="J110" s="27">
        <v>-189</v>
      </c>
      <c r="K110" s="27">
        <v>210</v>
      </c>
      <c r="L110" s="27">
        <v>5</v>
      </c>
      <c r="M110" s="27" t="s">
        <v>824</v>
      </c>
      <c r="N110" s="27" t="s">
        <v>167</v>
      </c>
      <c r="O110" s="27" t="s">
        <v>103</v>
      </c>
      <c r="P110" s="27" t="s">
        <v>69</v>
      </c>
      <c r="Q110" s="27">
        <v>3</v>
      </c>
      <c r="R110" s="27" t="s">
        <v>121</v>
      </c>
      <c r="S110" s="27" t="s">
        <v>825</v>
      </c>
      <c r="T110" s="27" t="s">
        <v>91</v>
      </c>
      <c r="U110" s="27">
        <v>922.22</v>
      </c>
      <c r="V110" s="27">
        <v>17</v>
      </c>
      <c r="W110" s="27">
        <v>54.25</v>
      </c>
      <c r="X110" s="28">
        <v>44832</v>
      </c>
      <c r="Y110" s="27" t="s">
        <v>92</v>
      </c>
      <c r="Z110" s="27">
        <v>12</v>
      </c>
      <c r="AA110" s="27">
        <v>0</v>
      </c>
      <c r="AB110" s="27">
        <v>5</v>
      </c>
      <c r="AC110" s="27">
        <v>0</v>
      </c>
      <c r="AD110" s="27">
        <v>6</v>
      </c>
      <c r="AE110" s="27">
        <v>0</v>
      </c>
      <c r="AF110" s="27">
        <v>0</v>
      </c>
      <c r="AG110" s="27">
        <v>0</v>
      </c>
      <c r="AO110" s="27" t="s">
        <v>826</v>
      </c>
      <c r="AP110" s="27">
        <v>0</v>
      </c>
      <c r="AQ110" s="27">
        <v>0</v>
      </c>
      <c r="AR110" s="27">
        <v>0</v>
      </c>
      <c r="AS110" s="27">
        <v>21</v>
      </c>
      <c r="AT110" s="27">
        <v>8762</v>
      </c>
      <c r="AU110" s="27" t="s">
        <v>75</v>
      </c>
      <c r="AV110" s="27">
        <v>2.666666666666667</v>
      </c>
      <c r="AW110" s="27">
        <v>1.44920289673904</v>
      </c>
      <c r="AX110" s="27" t="b">
        <v>0</v>
      </c>
      <c r="AY110" s="27" t="s">
        <v>388</v>
      </c>
      <c r="AZ110" s="27" t="s">
        <v>389</v>
      </c>
      <c r="BA110" s="27">
        <v>0</v>
      </c>
      <c r="BB110" s="27">
        <v>0</v>
      </c>
      <c r="BC110" s="27" t="s">
        <v>827</v>
      </c>
      <c r="BD110" s="27" t="s">
        <v>828</v>
      </c>
      <c r="BE110" s="27" t="s">
        <v>829</v>
      </c>
      <c r="BI110" s="27" t="s">
        <v>830</v>
      </c>
      <c r="BJ110" s="27" t="s">
        <v>1252</v>
      </c>
    </row>
    <row r="111" spans="1:62" s="27" customFormat="1" hidden="1" x14ac:dyDescent="0.25">
      <c r="A111" s="27" t="s">
        <v>831</v>
      </c>
      <c r="B111" s="27" t="s">
        <v>143</v>
      </c>
      <c r="C111" s="27">
        <v>36</v>
      </c>
      <c r="D111" s="27" t="s">
        <v>832</v>
      </c>
      <c r="E111" s="27" t="s">
        <v>127</v>
      </c>
      <c r="F111" s="27">
        <v>2</v>
      </c>
      <c r="G111" s="27">
        <v>2</v>
      </c>
      <c r="H111" s="27">
        <v>1</v>
      </c>
      <c r="I111" s="27">
        <v>2</v>
      </c>
      <c r="J111" s="27">
        <v>2051</v>
      </c>
      <c r="K111" s="27">
        <v>240</v>
      </c>
      <c r="L111" s="27">
        <v>0</v>
      </c>
      <c r="M111" s="27" t="s">
        <v>833</v>
      </c>
      <c r="N111" s="27" t="s">
        <v>119</v>
      </c>
      <c r="O111" s="27" t="s">
        <v>510</v>
      </c>
      <c r="P111" s="27" t="s">
        <v>69</v>
      </c>
      <c r="Q111" s="27">
        <v>1</v>
      </c>
      <c r="R111" s="27" t="s">
        <v>121</v>
      </c>
      <c r="S111" s="27" t="s">
        <v>834</v>
      </c>
      <c r="T111" s="27" t="s">
        <v>91</v>
      </c>
      <c r="U111" s="27">
        <v>8204.94</v>
      </c>
      <c r="V111" s="27">
        <v>2</v>
      </c>
      <c r="W111" s="27">
        <v>4102.47</v>
      </c>
      <c r="X111" s="28">
        <v>45201</v>
      </c>
      <c r="Y111" s="27" t="s">
        <v>123</v>
      </c>
      <c r="Z111" s="27">
        <v>1</v>
      </c>
      <c r="AA111" s="27">
        <v>0</v>
      </c>
      <c r="AO111" s="27" t="s">
        <v>835</v>
      </c>
      <c r="AP111" s="27">
        <v>0</v>
      </c>
      <c r="AQ111" s="27">
        <v>0</v>
      </c>
      <c r="AR111" s="27">
        <v>0</v>
      </c>
      <c r="AS111" s="27">
        <v>18</v>
      </c>
      <c r="AT111" s="27">
        <v>0</v>
      </c>
      <c r="AU111" s="27" t="s">
        <v>75</v>
      </c>
      <c r="AV111" s="27">
        <v>2</v>
      </c>
      <c r="AW111" s="27">
        <v>1</v>
      </c>
      <c r="AX111" s="27" t="b">
        <v>0</v>
      </c>
      <c r="AY111" s="27" t="s">
        <v>171</v>
      </c>
      <c r="AZ111" s="27" t="s">
        <v>172</v>
      </c>
      <c r="BA111" s="27">
        <v>0</v>
      </c>
      <c r="BB111" s="27">
        <v>0</v>
      </c>
      <c r="BC111" s="27" t="s">
        <v>836</v>
      </c>
      <c r="BD111" s="27" t="s">
        <v>837</v>
      </c>
      <c r="BG111" s="27" t="s">
        <v>838</v>
      </c>
      <c r="BH111" s="27" t="s">
        <v>839</v>
      </c>
      <c r="BI111" s="27" t="s">
        <v>840</v>
      </c>
      <c r="BJ111" s="27" t="s">
        <v>1252</v>
      </c>
    </row>
    <row r="112" spans="1:62" s="27" customFormat="1" hidden="1" x14ac:dyDescent="0.25">
      <c r="A112" s="27" t="s">
        <v>841</v>
      </c>
      <c r="B112" s="27" t="s">
        <v>842</v>
      </c>
      <c r="C112" s="27">
        <v>8</v>
      </c>
      <c r="D112" s="27" t="s">
        <v>843</v>
      </c>
      <c r="E112" s="27" t="s">
        <v>85</v>
      </c>
      <c r="F112" s="27">
        <v>6</v>
      </c>
      <c r="G112" s="27">
        <v>10</v>
      </c>
      <c r="H112" s="27">
        <v>1</v>
      </c>
      <c r="I112" s="27">
        <v>3</v>
      </c>
      <c r="J112" s="27">
        <v>-29</v>
      </c>
      <c r="K112" s="27">
        <v>210</v>
      </c>
      <c r="L112" s="27">
        <v>3</v>
      </c>
      <c r="M112" s="27" t="s">
        <v>844</v>
      </c>
      <c r="N112" s="27" t="s">
        <v>102</v>
      </c>
      <c r="O112" s="27" t="s">
        <v>845</v>
      </c>
      <c r="P112" s="27" t="s">
        <v>69</v>
      </c>
      <c r="R112" s="27" t="s">
        <v>121</v>
      </c>
      <c r="S112" s="27" t="s">
        <v>71</v>
      </c>
      <c r="T112" s="27" t="s">
        <v>91</v>
      </c>
      <c r="U112" s="27">
        <v>296.29000000000002</v>
      </c>
      <c r="V112" s="27">
        <v>10</v>
      </c>
      <c r="W112" s="27">
        <v>29.63</v>
      </c>
      <c r="X112" s="28">
        <v>45476</v>
      </c>
      <c r="Y112" s="27" t="s">
        <v>123</v>
      </c>
      <c r="Z112" s="27">
        <v>0</v>
      </c>
      <c r="AA112" s="27">
        <v>0</v>
      </c>
      <c r="AB112" s="27">
        <v>0</v>
      </c>
      <c r="AC112" s="27">
        <v>4</v>
      </c>
      <c r="AD112" s="27">
        <v>0</v>
      </c>
      <c r="AE112" s="27">
        <v>0</v>
      </c>
      <c r="AF112" s="27">
        <v>0</v>
      </c>
      <c r="AG112" s="27">
        <v>1</v>
      </c>
      <c r="AO112" s="27" t="s">
        <v>623</v>
      </c>
      <c r="AP112" s="27">
        <v>0</v>
      </c>
      <c r="AQ112" s="27">
        <v>4</v>
      </c>
      <c r="AR112" s="27">
        <v>0</v>
      </c>
      <c r="AS112" s="27">
        <v>0</v>
      </c>
      <c r="AT112" s="27">
        <v>1540</v>
      </c>
      <c r="AU112" s="27" t="s">
        <v>75</v>
      </c>
      <c r="AV112" s="27">
        <v>4</v>
      </c>
      <c r="AW112" s="27">
        <v>2.1071307505705481</v>
      </c>
      <c r="AX112" s="27" t="b">
        <v>0</v>
      </c>
      <c r="AY112" s="27" t="s">
        <v>216</v>
      </c>
      <c r="AZ112" s="27" t="s">
        <v>217</v>
      </c>
      <c r="BA112" s="27">
        <v>0</v>
      </c>
      <c r="BB112" s="27">
        <v>0</v>
      </c>
      <c r="BC112" s="27" t="s">
        <v>846</v>
      </c>
      <c r="BD112" s="27" t="s">
        <v>847</v>
      </c>
      <c r="BE112" s="27" t="s">
        <v>848</v>
      </c>
      <c r="BF112" s="27" t="s">
        <v>849</v>
      </c>
      <c r="BJ112" s="27" t="s">
        <v>1252</v>
      </c>
    </row>
    <row r="113" spans="1:62" s="27" customFormat="1" hidden="1" x14ac:dyDescent="0.25">
      <c r="A113" s="27" t="s">
        <v>850</v>
      </c>
      <c r="B113" s="27" t="s">
        <v>851</v>
      </c>
      <c r="C113" s="27">
        <v>1</v>
      </c>
      <c r="D113" s="27" t="s">
        <v>852</v>
      </c>
      <c r="E113" s="27" t="s">
        <v>85</v>
      </c>
      <c r="F113" s="27">
        <v>220</v>
      </c>
      <c r="G113" s="27">
        <v>500</v>
      </c>
      <c r="H113" s="27">
        <v>198</v>
      </c>
      <c r="I113" s="27">
        <v>418</v>
      </c>
      <c r="J113" s="27">
        <v>-20</v>
      </c>
      <c r="K113" s="27">
        <v>210</v>
      </c>
      <c r="L113" s="27">
        <v>214</v>
      </c>
      <c r="M113" s="27" t="s">
        <v>853</v>
      </c>
      <c r="N113" s="27" t="s">
        <v>102</v>
      </c>
      <c r="O113" s="27" t="s">
        <v>854</v>
      </c>
      <c r="P113" s="27" t="s">
        <v>69</v>
      </c>
      <c r="R113" s="27" t="s">
        <v>89</v>
      </c>
      <c r="S113" s="27" t="s">
        <v>855</v>
      </c>
      <c r="T113" s="27" t="s">
        <v>91</v>
      </c>
      <c r="U113" s="27">
        <v>200.05</v>
      </c>
      <c r="V113" s="27">
        <v>290</v>
      </c>
      <c r="W113" s="27">
        <v>0.69</v>
      </c>
      <c r="X113" s="28">
        <v>45481</v>
      </c>
      <c r="Y113" s="27" t="s">
        <v>92</v>
      </c>
      <c r="Z113" s="27">
        <v>198</v>
      </c>
      <c r="AA113" s="27">
        <v>44</v>
      </c>
      <c r="AB113" s="27">
        <v>328</v>
      </c>
      <c r="AC113" s="27">
        <v>0</v>
      </c>
      <c r="AD113" s="27">
        <v>90</v>
      </c>
      <c r="AE113" s="27">
        <v>171</v>
      </c>
      <c r="AF113" s="27">
        <v>50</v>
      </c>
      <c r="AG113" s="27">
        <v>50</v>
      </c>
      <c r="AO113" s="27" t="s">
        <v>856</v>
      </c>
      <c r="AP113" s="27">
        <v>0</v>
      </c>
      <c r="AQ113" s="27">
        <v>0</v>
      </c>
      <c r="AR113" s="27">
        <v>0</v>
      </c>
      <c r="AS113" s="27">
        <v>0</v>
      </c>
      <c r="AT113" s="27">
        <v>32780</v>
      </c>
      <c r="AU113" s="27" t="s">
        <v>75</v>
      </c>
      <c r="AV113" s="27">
        <v>1.142857142857143</v>
      </c>
      <c r="AW113" s="27">
        <v>0.87377627257787283</v>
      </c>
      <c r="AX113" s="27" t="b">
        <v>0</v>
      </c>
      <c r="AY113" s="27" t="s">
        <v>857</v>
      </c>
      <c r="AZ113" s="27" t="s">
        <v>858</v>
      </c>
      <c r="BA113" s="27">
        <v>0</v>
      </c>
      <c r="BB113" s="27">
        <v>0</v>
      </c>
      <c r="BC113" s="27" t="s">
        <v>859</v>
      </c>
      <c r="BD113" s="27" t="s">
        <v>860</v>
      </c>
      <c r="BE113" s="27" t="s">
        <v>861</v>
      </c>
      <c r="BF113" s="27" t="s">
        <v>862</v>
      </c>
      <c r="BJ113" s="27" t="s">
        <v>1252</v>
      </c>
    </row>
    <row r="115" spans="1:62" x14ac:dyDescent="0.25">
      <c r="X115" s="14"/>
    </row>
    <row r="116" spans="1:62" hidden="1" x14ac:dyDescent="0.25">
      <c r="A116" t="s">
        <v>863</v>
      </c>
      <c r="B116" t="s">
        <v>864</v>
      </c>
      <c r="C116">
        <v>1</v>
      </c>
      <c r="D116" t="s">
        <v>865</v>
      </c>
      <c r="E116" t="s">
        <v>65</v>
      </c>
      <c r="F116">
        <v>228</v>
      </c>
      <c r="G116">
        <v>660</v>
      </c>
      <c r="H116">
        <v>180</v>
      </c>
      <c r="I116">
        <v>872</v>
      </c>
      <c r="J116">
        <v>163</v>
      </c>
      <c r="K116">
        <v>120</v>
      </c>
      <c r="L116">
        <v>90</v>
      </c>
      <c r="M116" t="s">
        <v>866</v>
      </c>
      <c r="N116" t="s">
        <v>67</v>
      </c>
      <c r="O116" t="s">
        <v>188</v>
      </c>
      <c r="P116" t="s">
        <v>69</v>
      </c>
      <c r="R116" t="s">
        <v>89</v>
      </c>
      <c r="S116" t="s">
        <v>71</v>
      </c>
      <c r="T116" t="s">
        <v>867</v>
      </c>
      <c r="U116">
        <v>731.9</v>
      </c>
      <c r="V116">
        <v>580</v>
      </c>
      <c r="W116">
        <v>1.26</v>
      </c>
      <c r="X116" s="14">
        <v>44781</v>
      </c>
      <c r="Y116" t="s">
        <v>92</v>
      </c>
      <c r="Z116">
        <v>144</v>
      </c>
      <c r="AA116">
        <v>78</v>
      </c>
      <c r="AB116">
        <v>180</v>
      </c>
      <c r="AC116">
        <v>26</v>
      </c>
      <c r="AD116">
        <v>164</v>
      </c>
      <c r="AE116">
        <v>191</v>
      </c>
      <c r="AF116">
        <v>132</v>
      </c>
      <c r="AG116">
        <v>1148</v>
      </c>
      <c r="AH116">
        <v>11</v>
      </c>
      <c r="AI116">
        <v>46</v>
      </c>
      <c r="AJ116">
        <v>57</v>
      </c>
      <c r="AK116">
        <v>64</v>
      </c>
      <c r="AL116">
        <v>63</v>
      </c>
      <c r="AM116">
        <v>71</v>
      </c>
      <c r="AO116" t="s">
        <v>868</v>
      </c>
      <c r="AP116">
        <v>0</v>
      </c>
      <c r="AQ116">
        <v>0</v>
      </c>
      <c r="AR116">
        <v>0</v>
      </c>
      <c r="AS116">
        <v>0</v>
      </c>
      <c r="AT116">
        <v>109166080</v>
      </c>
      <c r="AU116" t="s">
        <v>75</v>
      </c>
      <c r="AV116">
        <v>1</v>
      </c>
      <c r="AW116">
        <v>1.5837128916958709</v>
      </c>
      <c r="AX116" t="b">
        <v>0</v>
      </c>
      <c r="AY116" t="s">
        <v>249</v>
      </c>
      <c r="AZ116" t="s">
        <v>250</v>
      </c>
      <c r="BA116">
        <v>0</v>
      </c>
      <c r="BB116">
        <v>0</v>
      </c>
      <c r="BC116" t="s">
        <v>869</v>
      </c>
      <c r="BD116" t="s">
        <v>870</v>
      </c>
    </row>
    <row r="117" spans="1:62" hidden="1" x14ac:dyDescent="0.25">
      <c r="A117" t="s">
        <v>871</v>
      </c>
      <c r="B117" t="s">
        <v>872</v>
      </c>
      <c r="C117">
        <v>12</v>
      </c>
      <c r="D117" t="s">
        <v>873</v>
      </c>
      <c r="E117" t="s">
        <v>85</v>
      </c>
      <c r="F117">
        <v>16</v>
      </c>
      <c r="G117">
        <v>36</v>
      </c>
      <c r="H117">
        <v>10</v>
      </c>
      <c r="I117">
        <v>46</v>
      </c>
      <c r="J117">
        <v>10</v>
      </c>
      <c r="K117">
        <v>150</v>
      </c>
      <c r="L117">
        <v>6</v>
      </c>
      <c r="M117" t="s">
        <v>874</v>
      </c>
      <c r="N117" t="s">
        <v>67</v>
      </c>
      <c r="O117" t="s">
        <v>120</v>
      </c>
      <c r="P117" t="s">
        <v>69</v>
      </c>
      <c r="R117" t="s">
        <v>121</v>
      </c>
      <c r="S117" t="s">
        <v>875</v>
      </c>
      <c r="T117" t="s">
        <v>91</v>
      </c>
      <c r="U117">
        <v>37.799999999999997</v>
      </c>
      <c r="V117">
        <v>30</v>
      </c>
      <c r="W117">
        <v>1.26</v>
      </c>
      <c r="X117" s="14">
        <v>44627</v>
      </c>
      <c r="Y117" t="s">
        <v>92</v>
      </c>
      <c r="Z117">
        <v>16</v>
      </c>
      <c r="AA117">
        <v>0</v>
      </c>
      <c r="AB117">
        <v>10</v>
      </c>
      <c r="AC117">
        <v>0</v>
      </c>
      <c r="AD117">
        <v>10</v>
      </c>
      <c r="AE117">
        <v>0</v>
      </c>
      <c r="AF117">
        <v>0</v>
      </c>
      <c r="AG117">
        <v>0</v>
      </c>
      <c r="AH117">
        <v>0</v>
      </c>
      <c r="AI117">
        <v>0</v>
      </c>
      <c r="AJ117">
        <v>0</v>
      </c>
      <c r="AO117" t="s">
        <v>876</v>
      </c>
      <c r="AP117">
        <v>0</v>
      </c>
      <c r="AQ117">
        <v>0</v>
      </c>
      <c r="AR117">
        <v>0</v>
      </c>
      <c r="AS117">
        <v>0</v>
      </c>
      <c r="AT117">
        <v>0</v>
      </c>
      <c r="AU117" t="s">
        <v>75</v>
      </c>
      <c r="AV117">
        <v>3.666666666666667</v>
      </c>
      <c r="AW117">
        <v>1.6942167424418779</v>
      </c>
      <c r="AX117" t="b">
        <v>0</v>
      </c>
      <c r="AY117" t="s">
        <v>423</v>
      </c>
      <c r="AZ117" t="s">
        <v>424</v>
      </c>
      <c r="BA117">
        <v>0</v>
      </c>
      <c r="BB117">
        <v>30</v>
      </c>
      <c r="BC117" t="s">
        <v>877</v>
      </c>
      <c r="BD117" t="s">
        <v>878</v>
      </c>
    </row>
    <row r="118" spans="1:62" x14ac:dyDescent="0.25">
      <c r="X118" s="14"/>
    </row>
    <row r="119" spans="1:62" hidden="1" x14ac:dyDescent="0.25">
      <c r="A119" t="s">
        <v>879</v>
      </c>
      <c r="B119" t="s">
        <v>101</v>
      </c>
      <c r="C119">
        <v>50</v>
      </c>
      <c r="D119" t="s">
        <v>880</v>
      </c>
      <c r="E119" t="s">
        <v>710</v>
      </c>
      <c r="F119">
        <v>1</v>
      </c>
      <c r="G119">
        <v>0</v>
      </c>
      <c r="J119">
        <v>0</v>
      </c>
      <c r="K119">
        <v>150</v>
      </c>
      <c r="L119">
        <v>-12</v>
      </c>
      <c r="M119" t="s">
        <v>881</v>
      </c>
      <c r="N119" t="s">
        <v>67</v>
      </c>
      <c r="O119" t="s">
        <v>68</v>
      </c>
      <c r="P119" t="s">
        <v>69</v>
      </c>
      <c r="R119" t="s">
        <v>104</v>
      </c>
      <c r="S119" t="s">
        <v>71</v>
      </c>
      <c r="U119">
        <v>407.18</v>
      </c>
      <c r="V119">
        <v>12</v>
      </c>
      <c r="W119">
        <v>33.93</v>
      </c>
      <c r="X119" s="14">
        <v>45295</v>
      </c>
      <c r="Z119">
        <v>0</v>
      </c>
      <c r="AA119">
        <v>0</v>
      </c>
      <c r="AB119">
        <v>0</v>
      </c>
      <c r="AC119">
        <v>0</v>
      </c>
      <c r="AD119">
        <v>0</v>
      </c>
      <c r="AE119">
        <v>0</v>
      </c>
      <c r="AF119">
        <v>0</v>
      </c>
      <c r="AG119">
        <v>0</v>
      </c>
      <c r="AH119">
        <v>0</v>
      </c>
      <c r="AI119">
        <v>0</v>
      </c>
      <c r="AJ119">
        <v>0</v>
      </c>
      <c r="AO119" t="s">
        <v>105</v>
      </c>
      <c r="AP119">
        <v>0</v>
      </c>
      <c r="AQ119">
        <v>0</v>
      </c>
      <c r="AR119">
        <v>0</v>
      </c>
      <c r="AS119">
        <v>0</v>
      </c>
      <c r="AT119">
        <v>570142</v>
      </c>
      <c r="AU119" t="s">
        <v>75</v>
      </c>
      <c r="AV119">
        <v>-1</v>
      </c>
      <c r="AW119">
        <v>-1</v>
      </c>
      <c r="AX119" t="b">
        <v>0</v>
      </c>
      <c r="AY119" t="s">
        <v>388</v>
      </c>
      <c r="AZ119" t="s">
        <v>389</v>
      </c>
      <c r="BA119">
        <v>0</v>
      </c>
      <c r="BB119">
        <v>0</v>
      </c>
      <c r="BC119" t="s">
        <v>882</v>
      </c>
      <c r="BD119" t="s">
        <v>883</v>
      </c>
    </row>
    <row r="120" spans="1:62" hidden="1" x14ac:dyDescent="0.25">
      <c r="A120" t="s">
        <v>884</v>
      </c>
      <c r="B120" t="s">
        <v>885</v>
      </c>
      <c r="C120">
        <v>14</v>
      </c>
      <c r="D120" t="s">
        <v>886</v>
      </c>
      <c r="E120" t="s">
        <v>65</v>
      </c>
      <c r="F120">
        <v>1629</v>
      </c>
      <c r="G120">
        <v>5000</v>
      </c>
      <c r="H120">
        <v>1400</v>
      </c>
      <c r="I120">
        <v>2884</v>
      </c>
      <c r="J120">
        <v>-28</v>
      </c>
      <c r="K120">
        <v>180</v>
      </c>
      <c r="L120">
        <v>1250</v>
      </c>
      <c r="M120" t="s">
        <v>887</v>
      </c>
      <c r="N120" t="s">
        <v>67</v>
      </c>
      <c r="O120" t="s">
        <v>543</v>
      </c>
      <c r="P120" t="s">
        <v>69</v>
      </c>
      <c r="R120" t="s">
        <v>70</v>
      </c>
      <c r="S120" t="s">
        <v>71</v>
      </c>
      <c r="T120" t="s">
        <v>91</v>
      </c>
      <c r="U120">
        <v>130.91</v>
      </c>
      <c r="V120">
        <v>4000</v>
      </c>
      <c r="W120">
        <v>0.03</v>
      </c>
      <c r="X120" s="14">
        <v>44790</v>
      </c>
      <c r="Y120" t="s">
        <v>92</v>
      </c>
      <c r="Z120">
        <v>1100</v>
      </c>
      <c r="AA120">
        <v>650</v>
      </c>
      <c r="AB120">
        <v>350</v>
      </c>
      <c r="AC120">
        <v>900</v>
      </c>
      <c r="AD120">
        <v>575</v>
      </c>
      <c r="AE120">
        <v>875</v>
      </c>
      <c r="AF120">
        <v>1400</v>
      </c>
      <c r="AG120">
        <v>1200</v>
      </c>
      <c r="AH120">
        <v>1620</v>
      </c>
      <c r="AO120" t="s">
        <v>888</v>
      </c>
      <c r="AP120">
        <v>0</v>
      </c>
      <c r="AQ120">
        <v>0</v>
      </c>
      <c r="AR120">
        <v>0</v>
      </c>
      <c r="AS120">
        <v>0</v>
      </c>
      <c r="AT120">
        <v>4040</v>
      </c>
      <c r="AU120" t="s">
        <v>75</v>
      </c>
      <c r="AV120">
        <v>1</v>
      </c>
      <c r="AW120">
        <v>0.39958282144875112</v>
      </c>
      <c r="AX120" t="b">
        <v>0</v>
      </c>
      <c r="AY120" t="s">
        <v>297</v>
      </c>
      <c r="AZ120" t="s">
        <v>298</v>
      </c>
      <c r="BA120">
        <v>0</v>
      </c>
      <c r="BB120">
        <v>0</v>
      </c>
      <c r="BC120" t="s">
        <v>889</v>
      </c>
      <c r="BD120" t="s">
        <v>890</v>
      </c>
      <c r="BE120" t="s">
        <v>891</v>
      </c>
      <c r="BF120" t="s">
        <v>892</v>
      </c>
    </row>
    <row r="121" spans="1:62" hidden="1" x14ac:dyDescent="0.25">
      <c r="A121" t="s">
        <v>893</v>
      </c>
      <c r="B121" t="s">
        <v>894</v>
      </c>
      <c r="C121">
        <v>14</v>
      </c>
      <c r="D121" t="s">
        <v>895</v>
      </c>
      <c r="E121" t="s">
        <v>85</v>
      </c>
      <c r="F121">
        <v>15</v>
      </c>
      <c r="G121">
        <v>30</v>
      </c>
      <c r="H121">
        <v>12</v>
      </c>
      <c r="I121">
        <v>30</v>
      </c>
      <c r="J121">
        <v>88</v>
      </c>
      <c r="K121">
        <v>90</v>
      </c>
      <c r="L121">
        <v>7</v>
      </c>
      <c r="M121" t="s">
        <v>896</v>
      </c>
      <c r="N121" t="s">
        <v>102</v>
      </c>
      <c r="O121" t="s">
        <v>897</v>
      </c>
      <c r="P121" t="s">
        <v>69</v>
      </c>
      <c r="R121" t="s">
        <v>121</v>
      </c>
      <c r="S121" t="s">
        <v>71</v>
      </c>
      <c r="T121" t="s">
        <v>898</v>
      </c>
      <c r="U121">
        <v>1355.29</v>
      </c>
      <c r="V121">
        <v>23</v>
      </c>
      <c r="W121">
        <v>58.93</v>
      </c>
      <c r="X121" s="14">
        <v>45125</v>
      </c>
      <c r="Y121" t="s">
        <v>92</v>
      </c>
      <c r="Z121">
        <v>12</v>
      </c>
      <c r="AA121">
        <v>0</v>
      </c>
      <c r="AB121">
        <v>11</v>
      </c>
      <c r="AC121">
        <v>0</v>
      </c>
      <c r="AD121">
        <v>0</v>
      </c>
      <c r="AE121">
        <v>0</v>
      </c>
      <c r="AF121">
        <v>15</v>
      </c>
      <c r="AG121">
        <v>0</v>
      </c>
      <c r="AH121">
        <v>0</v>
      </c>
      <c r="AI121">
        <v>12</v>
      </c>
      <c r="AJ121">
        <v>3</v>
      </c>
      <c r="AK121">
        <v>0</v>
      </c>
      <c r="AL121">
        <v>0</v>
      </c>
      <c r="AM121">
        <v>0</v>
      </c>
      <c r="AN121">
        <v>7</v>
      </c>
      <c r="AO121" t="s">
        <v>899</v>
      </c>
      <c r="AP121">
        <v>0</v>
      </c>
      <c r="AQ121">
        <v>0</v>
      </c>
      <c r="AR121">
        <v>0</v>
      </c>
      <c r="AS121">
        <v>0</v>
      </c>
      <c r="AT121">
        <v>391920</v>
      </c>
      <c r="AU121" t="s">
        <v>75</v>
      </c>
      <c r="AV121">
        <v>2.4</v>
      </c>
      <c r="AW121">
        <v>1.3216977765207709</v>
      </c>
      <c r="AX121" t="b">
        <v>0</v>
      </c>
      <c r="AY121" t="s">
        <v>388</v>
      </c>
      <c r="AZ121" t="s">
        <v>389</v>
      </c>
      <c r="BA121">
        <v>0</v>
      </c>
      <c r="BB121">
        <v>0</v>
      </c>
      <c r="BC121" t="s">
        <v>900</v>
      </c>
      <c r="BD121" t="s">
        <v>901</v>
      </c>
      <c r="BE121" t="s">
        <v>902</v>
      </c>
      <c r="BF121" t="s">
        <v>902</v>
      </c>
    </row>
    <row r="122" spans="1:62" hidden="1" x14ac:dyDescent="0.25">
      <c r="A122" t="s">
        <v>903</v>
      </c>
      <c r="B122" t="s">
        <v>760</v>
      </c>
      <c r="C122">
        <v>36</v>
      </c>
      <c r="D122" t="s">
        <v>904</v>
      </c>
      <c r="E122" t="s">
        <v>85</v>
      </c>
      <c r="F122">
        <v>2</v>
      </c>
      <c r="G122">
        <v>2</v>
      </c>
      <c r="H122">
        <v>2</v>
      </c>
      <c r="I122">
        <v>4</v>
      </c>
      <c r="J122">
        <v>292</v>
      </c>
      <c r="K122">
        <v>180</v>
      </c>
      <c r="L122">
        <v>0</v>
      </c>
      <c r="M122" t="s">
        <v>905</v>
      </c>
      <c r="N122" t="s">
        <v>102</v>
      </c>
      <c r="O122" t="s">
        <v>146</v>
      </c>
      <c r="P122" t="s">
        <v>69</v>
      </c>
      <c r="Q122">
        <v>1</v>
      </c>
      <c r="R122" t="s">
        <v>121</v>
      </c>
      <c r="S122" t="s">
        <v>906</v>
      </c>
      <c r="T122" t="s">
        <v>91</v>
      </c>
      <c r="U122">
        <v>584.97</v>
      </c>
      <c r="V122">
        <v>2</v>
      </c>
      <c r="W122">
        <v>292.49</v>
      </c>
      <c r="X122" s="14">
        <v>45324</v>
      </c>
      <c r="Y122" t="s">
        <v>123</v>
      </c>
      <c r="Z122">
        <v>2</v>
      </c>
      <c r="AA122">
        <v>2</v>
      </c>
      <c r="AB122">
        <v>0</v>
      </c>
      <c r="AC122">
        <v>1</v>
      </c>
      <c r="AD122">
        <v>0</v>
      </c>
      <c r="AE122">
        <v>0</v>
      </c>
      <c r="AF122">
        <v>0</v>
      </c>
      <c r="AG122">
        <v>0</v>
      </c>
      <c r="AH122">
        <v>0</v>
      </c>
      <c r="AO122" t="s">
        <v>907</v>
      </c>
      <c r="AP122">
        <v>0</v>
      </c>
      <c r="AQ122">
        <v>0</v>
      </c>
      <c r="AR122">
        <v>0</v>
      </c>
      <c r="AS122">
        <v>2</v>
      </c>
      <c r="AT122">
        <v>1083</v>
      </c>
      <c r="AU122" t="s">
        <v>75</v>
      </c>
      <c r="AV122">
        <v>3</v>
      </c>
      <c r="AW122">
        <v>1.496662954709576</v>
      </c>
      <c r="AX122" t="b">
        <v>0</v>
      </c>
      <c r="AY122" t="s">
        <v>169</v>
      </c>
      <c r="AZ122" t="s">
        <v>170</v>
      </c>
      <c r="BA122">
        <v>0</v>
      </c>
      <c r="BB122">
        <v>0</v>
      </c>
      <c r="BC122" t="s">
        <v>908</v>
      </c>
      <c r="BD122" t="s">
        <v>909</v>
      </c>
      <c r="BE122" t="s">
        <v>910</v>
      </c>
      <c r="BF122" t="s">
        <v>910</v>
      </c>
      <c r="BI122" t="s">
        <v>911</v>
      </c>
    </row>
    <row r="123" spans="1:62" hidden="1" x14ac:dyDescent="0.25">
      <c r="A123" t="s">
        <v>912</v>
      </c>
      <c r="B123" t="s">
        <v>913</v>
      </c>
      <c r="C123">
        <v>1</v>
      </c>
      <c r="D123" t="s">
        <v>914</v>
      </c>
      <c r="E123" t="s">
        <v>65</v>
      </c>
      <c r="F123">
        <v>219</v>
      </c>
      <c r="G123">
        <v>384</v>
      </c>
      <c r="J123">
        <v>0</v>
      </c>
      <c r="K123">
        <v>180</v>
      </c>
      <c r="L123">
        <v>173</v>
      </c>
      <c r="M123" t="s">
        <v>915</v>
      </c>
      <c r="N123" t="s">
        <v>916</v>
      </c>
      <c r="O123" t="s">
        <v>917</v>
      </c>
      <c r="P123" t="s">
        <v>918</v>
      </c>
      <c r="R123" t="s">
        <v>70</v>
      </c>
      <c r="S123" t="s">
        <v>71</v>
      </c>
      <c r="U123">
        <v>344.34</v>
      </c>
      <c r="V123">
        <v>216</v>
      </c>
      <c r="W123">
        <v>1.59</v>
      </c>
      <c r="X123" s="14">
        <v>45309</v>
      </c>
      <c r="Z123">
        <v>148</v>
      </c>
      <c r="AA123">
        <v>98</v>
      </c>
      <c r="AB123">
        <v>124</v>
      </c>
      <c r="AC123">
        <v>74</v>
      </c>
      <c r="AD123">
        <v>129</v>
      </c>
      <c r="AE123">
        <v>107</v>
      </c>
      <c r="AF123">
        <v>78</v>
      </c>
      <c r="AG123">
        <v>92</v>
      </c>
      <c r="AH123">
        <v>187</v>
      </c>
      <c r="AO123" t="s">
        <v>919</v>
      </c>
      <c r="AP123">
        <v>0</v>
      </c>
      <c r="AQ123">
        <v>0</v>
      </c>
      <c r="AR123">
        <v>0</v>
      </c>
      <c r="AS123">
        <v>0</v>
      </c>
      <c r="AT123">
        <v>4851</v>
      </c>
      <c r="AU123" t="s">
        <v>75</v>
      </c>
      <c r="AV123">
        <v>1</v>
      </c>
      <c r="AW123">
        <v>0.29617975437160171</v>
      </c>
      <c r="AX123" t="b">
        <v>0</v>
      </c>
      <c r="AY123" t="s">
        <v>920</v>
      </c>
      <c r="AZ123" t="s">
        <v>921</v>
      </c>
      <c r="BA123">
        <v>0</v>
      </c>
      <c r="BB123">
        <v>120</v>
      </c>
      <c r="BC123" t="s">
        <v>922</v>
      </c>
      <c r="BD123" t="s">
        <v>923</v>
      </c>
      <c r="BE123" t="s">
        <v>924</v>
      </c>
      <c r="BF123" t="s">
        <v>925</v>
      </c>
    </row>
    <row r="124" spans="1:62" hidden="1" x14ac:dyDescent="0.25">
      <c r="A124" t="s">
        <v>926</v>
      </c>
      <c r="B124" t="s">
        <v>927</v>
      </c>
      <c r="C124">
        <v>1</v>
      </c>
      <c r="D124" t="s">
        <v>928</v>
      </c>
      <c r="E124" t="s">
        <v>85</v>
      </c>
      <c r="F124">
        <v>91</v>
      </c>
      <c r="G124">
        <v>150</v>
      </c>
      <c r="H124">
        <v>111</v>
      </c>
      <c r="I124">
        <v>247</v>
      </c>
      <c r="J124">
        <v>904</v>
      </c>
      <c r="K124">
        <v>210</v>
      </c>
      <c r="L124">
        <v>30</v>
      </c>
      <c r="M124" t="s">
        <v>929</v>
      </c>
      <c r="N124" t="s">
        <v>67</v>
      </c>
      <c r="O124" t="s">
        <v>68</v>
      </c>
      <c r="P124" t="s">
        <v>69</v>
      </c>
      <c r="R124" t="s">
        <v>70</v>
      </c>
      <c r="S124" t="s">
        <v>71</v>
      </c>
      <c r="T124" t="s">
        <v>91</v>
      </c>
      <c r="U124">
        <v>2819.88</v>
      </c>
      <c r="V124">
        <v>120</v>
      </c>
      <c r="W124">
        <v>23.5</v>
      </c>
      <c r="X124" s="14">
        <v>45278</v>
      </c>
      <c r="Y124" t="s">
        <v>73</v>
      </c>
      <c r="Z124">
        <v>153</v>
      </c>
      <c r="AA124">
        <v>111</v>
      </c>
      <c r="AB124">
        <v>24</v>
      </c>
      <c r="AC124">
        <v>57</v>
      </c>
      <c r="AD124">
        <v>63</v>
      </c>
      <c r="AE124">
        <v>36</v>
      </c>
      <c r="AF124">
        <v>75</v>
      </c>
      <c r="AG124">
        <v>0</v>
      </c>
      <c r="AO124" t="s">
        <v>930</v>
      </c>
      <c r="AP124">
        <v>0</v>
      </c>
      <c r="AQ124">
        <v>279</v>
      </c>
      <c r="AR124">
        <v>0</v>
      </c>
      <c r="AS124">
        <v>0</v>
      </c>
      <c r="AT124">
        <v>3378585</v>
      </c>
      <c r="AU124" t="s">
        <v>75</v>
      </c>
      <c r="AV124">
        <v>1.142857142857143</v>
      </c>
      <c r="AW124">
        <v>0.70584165086708162</v>
      </c>
      <c r="AX124" t="b">
        <v>0</v>
      </c>
      <c r="AY124" t="s">
        <v>388</v>
      </c>
      <c r="AZ124" t="s">
        <v>389</v>
      </c>
      <c r="BA124">
        <v>0</v>
      </c>
      <c r="BB124">
        <v>0</v>
      </c>
      <c r="BC124" t="s">
        <v>931</v>
      </c>
      <c r="BD124" t="s">
        <v>932</v>
      </c>
      <c r="BE124" t="s">
        <v>933</v>
      </c>
      <c r="BF124" t="s">
        <v>934</v>
      </c>
    </row>
    <row r="125" spans="1:62" hidden="1" x14ac:dyDescent="0.25">
      <c r="A125" t="s">
        <v>935</v>
      </c>
      <c r="B125" t="s">
        <v>936</v>
      </c>
      <c r="C125">
        <v>14</v>
      </c>
      <c r="D125" t="s">
        <v>937</v>
      </c>
      <c r="E125" t="s">
        <v>85</v>
      </c>
      <c r="F125">
        <v>6</v>
      </c>
      <c r="G125">
        <v>15</v>
      </c>
      <c r="H125">
        <v>4</v>
      </c>
      <c r="I125">
        <v>10</v>
      </c>
      <c r="J125">
        <v>-144</v>
      </c>
      <c r="K125">
        <v>210</v>
      </c>
      <c r="L125">
        <v>2</v>
      </c>
      <c r="M125" t="s">
        <v>938</v>
      </c>
      <c r="N125" t="s">
        <v>102</v>
      </c>
      <c r="O125" t="s">
        <v>146</v>
      </c>
      <c r="P125" t="s">
        <v>69</v>
      </c>
      <c r="Q125">
        <v>1</v>
      </c>
      <c r="R125" t="s">
        <v>70</v>
      </c>
      <c r="S125" t="s">
        <v>939</v>
      </c>
      <c r="T125" t="s">
        <v>91</v>
      </c>
      <c r="U125">
        <v>1248.23</v>
      </c>
      <c r="V125">
        <v>13</v>
      </c>
      <c r="W125">
        <v>96.02</v>
      </c>
      <c r="X125" s="14">
        <v>45440</v>
      </c>
      <c r="Y125" t="s">
        <v>92</v>
      </c>
      <c r="Z125">
        <v>5</v>
      </c>
      <c r="AA125">
        <v>3</v>
      </c>
      <c r="AB125">
        <v>4</v>
      </c>
      <c r="AC125">
        <v>2</v>
      </c>
      <c r="AD125">
        <v>4</v>
      </c>
      <c r="AE125">
        <v>3</v>
      </c>
      <c r="AF125">
        <v>0</v>
      </c>
      <c r="AG125">
        <v>2</v>
      </c>
      <c r="AO125" t="s">
        <v>940</v>
      </c>
      <c r="AP125">
        <v>0</v>
      </c>
      <c r="AQ125">
        <v>59</v>
      </c>
      <c r="AR125">
        <v>0</v>
      </c>
      <c r="AS125">
        <v>30</v>
      </c>
      <c r="AT125">
        <v>4004</v>
      </c>
      <c r="AU125" t="s">
        <v>75</v>
      </c>
      <c r="AV125">
        <v>1.142857142857143</v>
      </c>
      <c r="AW125">
        <v>0.50517174080966309</v>
      </c>
      <c r="AX125" t="b">
        <v>0</v>
      </c>
      <c r="AY125" t="s">
        <v>203</v>
      </c>
      <c r="AZ125" t="s">
        <v>204</v>
      </c>
      <c r="BA125">
        <v>0</v>
      </c>
      <c r="BB125">
        <v>0</v>
      </c>
      <c r="BC125" t="s">
        <v>941</v>
      </c>
      <c r="BD125" t="s">
        <v>942</v>
      </c>
      <c r="BE125" t="s">
        <v>943</v>
      </c>
      <c r="BF125" t="s">
        <v>943</v>
      </c>
      <c r="BI125" t="s">
        <v>944</v>
      </c>
    </row>
    <row r="127" spans="1:62" hidden="1" x14ac:dyDescent="0.25">
      <c r="A127" t="s">
        <v>946</v>
      </c>
      <c r="B127" t="s">
        <v>947</v>
      </c>
      <c r="C127">
        <v>15</v>
      </c>
      <c r="D127" t="s">
        <v>948</v>
      </c>
      <c r="E127" t="s">
        <v>85</v>
      </c>
      <c r="F127">
        <v>21</v>
      </c>
      <c r="G127">
        <v>30</v>
      </c>
      <c r="H127">
        <v>14</v>
      </c>
      <c r="I127">
        <v>35</v>
      </c>
      <c r="J127">
        <v>173</v>
      </c>
      <c r="K127">
        <v>150</v>
      </c>
      <c r="L127">
        <v>5</v>
      </c>
      <c r="M127" t="s">
        <v>949</v>
      </c>
      <c r="N127" t="s">
        <v>67</v>
      </c>
      <c r="O127" t="s">
        <v>359</v>
      </c>
      <c r="P127" t="s">
        <v>69</v>
      </c>
      <c r="R127" t="s">
        <v>70</v>
      </c>
      <c r="S127" t="s">
        <v>950</v>
      </c>
      <c r="T127" t="s">
        <v>91</v>
      </c>
      <c r="U127">
        <v>722.85</v>
      </c>
      <c r="V127">
        <v>25</v>
      </c>
      <c r="W127">
        <v>28.91</v>
      </c>
      <c r="X127" s="14">
        <v>45224</v>
      </c>
      <c r="Y127" t="s">
        <v>92</v>
      </c>
      <c r="Z127">
        <v>19</v>
      </c>
      <c r="AA127">
        <v>0</v>
      </c>
      <c r="AB127">
        <v>6</v>
      </c>
      <c r="AC127">
        <v>10</v>
      </c>
      <c r="AD127">
        <v>0</v>
      </c>
      <c r="AE127">
        <v>12</v>
      </c>
      <c r="AF127">
        <v>14</v>
      </c>
      <c r="AG127">
        <v>4</v>
      </c>
      <c r="AH127">
        <v>7</v>
      </c>
      <c r="AI127">
        <v>9</v>
      </c>
      <c r="AJ127">
        <v>11</v>
      </c>
      <c r="AO127" t="s">
        <v>951</v>
      </c>
      <c r="AP127">
        <v>0</v>
      </c>
      <c r="AQ127">
        <v>0</v>
      </c>
      <c r="AR127">
        <v>0</v>
      </c>
      <c r="AS127">
        <v>0</v>
      </c>
      <c r="AT127">
        <v>82656</v>
      </c>
      <c r="AU127" t="s">
        <v>75</v>
      </c>
      <c r="AV127">
        <v>1.2222222222222221</v>
      </c>
      <c r="AW127">
        <v>0.65938047339578698</v>
      </c>
      <c r="AX127" t="b">
        <v>0</v>
      </c>
      <c r="AY127" t="s">
        <v>363</v>
      </c>
      <c r="AZ127" t="s">
        <v>364</v>
      </c>
      <c r="BA127">
        <v>0</v>
      </c>
      <c r="BB127">
        <v>0</v>
      </c>
      <c r="BC127" t="s">
        <v>952</v>
      </c>
      <c r="BD127" t="s">
        <v>953</v>
      </c>
      <c r="BE127" t="s">
        <v>954</v>
      </c>
      <c r="BF127" t="s">
        <v>955</v>
      </c>
    </row>
    <row r="128" spans="1:62" x14ac:dyDescent="0.25">
      <c r="X128" s="14"/>
    </row>
    <row r="130" spans="1:61" x14ac:dyDescent="0.25">
      <c r="X130" s="14"/>
    </row>
    <row r="131" spans="1:61" hidden="1" x14ac:dyDescent="0.25">
      <c r="A131" t="s">
        <v>956</v>
      </c>
      <c r="B131" t="s">
        <v>957</v>
      </c>
      <c r="C131">
        <v>14</v>
      </c>
      <c r="D131" t="s">
        <v>958</v>
      </c>
      <c r="E131" t="s">
        <v>85</v>
      </c>
      <c r="F131">
        <v>200</v>
      </c>
      <c r="G131">
        <v>400</v>
      </c>
      <c r="H131">
        <v>321</v>
      </c>
      <c r="I131">
        <v>511</v>
      </c>
      <c r="J131">
        <v>-258</v>
      </c>
      <c r="K131">
        <v>210</v>
      </c>
      <c r="L131">
        <v>175</v>
      </c>
      <c r="M131" t="s">
        <v>959</v>
      </c>
      <c r="N131" t="s">
        <v>102</v>
      </c>
      <c r="O131" t="s">
        <v>960</v>
      </c>
      <c r="P131" t="s">
        <v>69</v>
      </c>
      <c r="R131" t="s">
        <v>89</v>
      </c>
      <c r="S131" t="s">
        <v>961</v>
      </c>
      <c r="T131" t="s">
        <v>962</v>
      </c>
      <c r="U131">
        <v>11906.19</v>
      </c>
      <c r="V131">
        <v>230</v>
      </c>
      <c r="W131">
        <v>51.77</v>
      </c>
      <c r="X131" s="14">
        <v>44944</v>
      </c>
      <c r="Y131" t="s">
        <v>92</v>
      </c>
      <c r="Z131">
        <v>219</v>
      </c>
      <c r="AA131">
        <v>40</v>
      </c>
      <c r="AB131">
        <v>94</v>
      </c>
      <c r="AC131">
        <v>94</v>
      </c>
      <c r="AD131">
        <v>122</v>
      </c>
      <c r="AE131">
        <v>529</v>
      </c>
      <c r="AF131">
        <v>868</v>
      </c>
      <c r="AG131">
        <v>321</v>
      </c>
      <c r="AO131" t="s">
        <v>963</v>
      </c>
      <c r="AP131">
        <v>0</v>
      </c>
      <c r="AQ131">
        <v>0</v>
      </c>
      <c r="AR131">
        <v>0</v>
      </c>
      <c r="AS131">
        <v>360</v>
      </c>
      <c r="AT131">
        <v>5060000</v>
      </c>
      <c r="AU131" t="s">
        <v>75</v>
      </c>
      <c r="AV131">
        <v>1</v>
      </c>
      <c r="AW131">
        <v>0.92930784156475088</v>
      </c>
      <c r="AX131" t="b">
        <v>0</v>
      </c>
      <c r="AY131" t="s">
        <v>76</v>
      </c>
      <c r="AZ131" t="s">
        <v>77</v>
      </c>
      <c r="BA131">
        <v>0</v>
      </c>
      <c r="BB131">
        <v>0</v>
      </c>
      <c r="BC131" t="s">
        <v>964</v>
      </c>
      <c r="BD131" t="s">
        <v>965</v>
      </c>
      <c r="BE131" t="s">
        <v>966</v>
      </c>
      <c r="BF131" t="s">
        <v>967</v>
      </c>
      <c r="BI131" t="s">
        <v>968</v>
      </c>
    </row>
    <row r="132" spans="1:61" hidden="1" x14ac:dyDescent="0.25">
      <c r="A132" t="s">
        <v>969</v>
      </c>
      <c r="B132" t="s">
        <v>913</v>
      </c>
      <c r="C132">
        <v>57</v>
      </c>
      <c r="D132" t="s">
        <v>970</v>
      </c>
      <c r="E132" t="s">
        <v>971</v>
      </c>
      <c r="F132">
        <v>31299</v>
      </c>
      <c r="G132">
        <v>69000</v>
      </c>
      <c r="J132">
        <v>0</v>
      </c>
      <c r="K132">
        <v>180</v>
      </c>
      <c r="L132">
        <v>8100</v>
      </c>
      <c r="M132" t="s">
        <v>972</v>
      </c>
      <c r="N132" t="s">
        <v>67</v>
      </c>
      <c r="O132" t="s">
        <v>973</v>
      </c>
      <c r="P132" t="s">
        <v>974</v>
      </c>
      <c r="R132" t="s">
        <v>70</v>
      </c>
      <c r="S132" t="s">
        <v>975</v>
      </c>
      <c r="U132">
        <v>74.23</v>
      </c>
      <c r="V132">
        <v>10000</v>
      </c>
      <c r="W132">
        <v>0.01</v>
      </c>
      <c r="X132" s="14">
        <v>44886</v>
      </c>
      <c r="Z132">
        <v>24400</v>
      </c>
      <c r="AA132">
        <v>4600</v>
      </c>
      <c r="AB132">
        <v>3914</v>
      </c>
      <c r="AC132">
        <v>4300</v>
      </c>
      <c r="AD132">
        <v>8200</v>
      </c>
      <c r="AE132">
        <v>5520</v>
      </c>
      <c r="AF132">
        <v>6815</v>
      </c>
      <c r="AG132">
        <v>4354</v>
      </c>
      <c r="AH132">
        <v>8752</v>
      </c>
      <c r="AO132" t="s">
        <v>976</v>
      </c>
      <c r="AP132">
        <v>0</v>
      </c>
      <c r="AQ132">
        <v>0</v>
      </c>
      <c r="AR132">
        <v>0</v>
      </c>
      <c r="AS132">
        <v>0</v>
      </c>
      <c r="AT132">
        <v>9000</v>
      </c>
      <c r="AU132" t="s">
        <v>75</v>
      </c>
      <c r="AV132">
        <v>1</v>
      </c>
      <c r="AW132">
        <v>0.77171897004208345</v>
      </c>
      <c r="AX132" t="b">
        <v>0</v>
      </c>
      <c r="AY132" t="s">
        <v>249</v>
      </c>
      <c r="AZ132" t="s">
        <v>250</v>
      </c>
      <c r="BA132">
        <v>0</v>
      </c>
      <c r="BB132">
        <v>0</v>
      </c>
      <c r="BC132" t="s">
        <v>977</v>
      </c>
      <c r="BD132" t="s">
        <v>978</v>
      </c>
      <c r="BE132" t="s">
        <v>979</v>
      </c>
      <c r="BF132" t="s">
        <v>980</v>
      </c>
    </row>
    <row r="133" spans="1:61" hidden="1" x14ac:dyDescent="0.25">
      <c r="A133" t="s">
        <v>969</v>
      </c>
      <c r="B133" t="s">
        <v>913</v>
      </c>
      <c r="C133">
        <v>57</v>
      </c>
      <c r="D133" t="s">
        <v>970</v>
      </c>
      <c r="E133" t="s">
        <v>971</v>
      </c>
      <c r="F133">
        <v>31299</v>
      </c>
      <c r="G133">
        <v>69000</v>
      </c>
      <c r="J133">
        <v>0</v>
      </c>
      <c r="K133">
        <v>180</v>
      </c>
      <c r="L133">
        <v>8100</v>
      </c>
      <c r="M133" t="s">
        <v>972</v>
      </c>
      <c r="N133" t="s">
        <v>67</v>
      </c>
      <c r="O133" t="s">
        <v>973</v>
      </c>
      <c r="P133" t="s">
        <v>974</v>
      </c>
      <c r="R133" t="s">
        <v>70</v>
      </c>
      <c r="S133" t="s">
        <v>975</v>
      </c>
      <c r="U133">
        <v>74.23</v>
      </c>
      <c r="V133">
        <v>10000</v>
      </c>
      <c r="W133">
        <v>0.01</v>
      </c>
      <c r="X133" s="14">
        <v>44886</v>
      </c>
      <c r="Z133">
        <v>24400</v>
      </c>
      <c r="AA133">
        <v>4600</v>
      </c>
      <c r="AB133">
        <v>3914</v>
      </c>
      <c r="AC133">
        <v>4300</v>
      </c>
      <c r="AD133">
        <v>8200</v>
      </c>
      <c r="AE133">
        <v>5520</v>
      </c>
      <c r="AF133">
        <v>6815</v>
      </c>
      <c r="AG133">
        <v>4354</v>
      </c>
      <c r="AH133">
        <v>8752</v>
      </c>
      <c r="AO133" t="s">
        <v>976</v>
      </c>
      <c r="AP133">
        <v>0</v>
      </c>
      <c r="AQ133">
        <v>0</v>
      </c>
      <c r="AR133">
        <v>0</v>
      </c>
      <c r="AS133">
        <v>0</v>
      </c>
      <c r="AT133">
        <v>9000</v>
      </c>
      <c r="AU133" t="s">
        <v>75</v>
      </c>
      <c r="AV133">
        <v>1</v>
      </c>
      <c r="AW133">
        <v>0.77171897004208345</v>
      </c>
      <c r="AX133" t="b">
        <v>0</v>
      </c>
      <c r="AY133" t="s">
        <v>249</v>
      </c>
      <c r="AZ133" t="s">
        <v>250</v>
      </c>
      <c r="BA133">
        <v>0</v>
      </c>
      <c r="BB133">
        <v>0</v>
      </c>
      <c r="BC133" t="s">
        <v>977</v>
      </c>
      <c r="BD133" t="s">
        <v>978</v>
      </c>
      <c r="BE133" t="s">
        <v>979</v>
      </c>
      <c r="BF133" t="s">
        <v>980</v>
      </c>
    </row>
    <row r="135" spans="1:61" hidden="1" x14ac:dyDescent="0.25">
      <c r="A135" t="s">
        <v>981</v>
      </c>
      <c r="B135" t="s">
        <v>982</v>
      </c>
      <c r="C135">
        <v>12</v>
      </c>
      <c r="D135" t="s">
        <v>983</v>
      </c>
      <c r="E135" t="s">
        <v>984</v>
      </c>
      <c r="F135">
        <v>22</v>
      </c>
      <c r="G135">
        <v>65</v>
      </c>
      <c r="H135">
        <v>26</v>
      </c>
      <c r="I135">
        <v>82</v>
      </c>
      <c r="J135">
        <v>323</v>
      </c>
      <c r="K135">
        <v>120</v>
      </c>
      <c r="L135">
        <v>16</v>
      </c>
      <c r="M135" t="s">
        <v>985</v>
      </c>
      <c r="N135" t="s">
        <v>67</v>
      </c>
      <c r="O135" t="s">
        <v>567</v>
      </c>
      <c r="P135" t="s">
        <v>69</v>
      </c>
      <c r="Q135">
        <v>3</v>
      </c>
      <c r="R135" t="s">
        <v>70</v>
      </c>
      <c r="S135" t="s">
        <v>986</v>
      </c>
      <c r="T135" t="s">
        <v>91</v>
      </c>
      <c r="U135">
        <v>2491.66</v>
      </c>
      <c r="V135">
        <v>50</v>
      </c>
      <c r="W135">
        <v>49.83</v>
      </c>
      <c r="X135" s="14">
        <v>45348</v>
      </c>
      <c r="Y135" t="s">
        <v>92</v>
      </c>
      <c r="Z135">
        <v>15</v>
      </c>
      <c r="AA135">
        <v>19</v>
      </c>
      <c r="AB135">
        <v>11</v>
      </c>
      <c r="AC135">
        <v>17</v>
      </c>
      <c r="AD135">
        <v>28</v>
      </c>
      <c r="AE135">
        <v>11</v>
      </c>
      <c r="AF135">
        <v>24</v>
      </c>
      <c r="AG135">
        <v>26</v>
      </c>
      <c r="AH135">
        <v>15</v>
      </c>
      <c r="AI135">
        <v>14</v>
      </c>
      <c r="AJ135">
        <v>11</v>
      </c>
      <c r="AK135">
        <v>6</v>
      </c>
      <c r="AL135">
        <v>17</v>
      </c>
      <c r="AM135">
        <v>6</v>
      </c>
      <c r="AO135" t="s">
        <v>987</v>
      </c>
      <c r="AP135">
        <v>0</v>
      </c>
      <c r="AQ135">
        <v>0</v>
      </c>
      <c r="AR135">
        <v>0</v>
      </c>
      <c r="AS135">
        <v>1</v>
      </c>
      <c r="AT135">
        <v>0</v>
      </c>
      <c r="AU135" t="s">
        <v>75</v>
      </c>
      <c r="AV135">
        <v>1</v>
      </c>
      <c r="AW135">
        <v>0.39198204877701481</v>
      </c>
      <c r="AX135" t="b">
        <v>0</v>
      </c>
      <c r="AY135" t="s">
        <v>988</v>
      </c>
      <c r="AZ135" t="s">
        <v>989</v>
      </c>
      <c r="BA135">
        <v>0</v>
      </c>
      <c r="BB135">
        <v>0</v>
      </c>
      <c r="BC135" t="s">
        <v>990</v>
      </c>
      <c r="BD135" t="s">
        <v>991</v>
      </c>
      <c r="BE135" t="s">
        <v>992</v>
      </c>
      <c r="BF135" t="s">
        <v>993</v>
      </c>
      <c r="BI135" t="s">
        <v>994</v>
      </c>
    </row>
    <row r="136" spans="1:61" hidden="1" x14ac:dyDescent="0.25">
      <c r="A136" t="s">
        <v>995</v>
      </c>
      <c r="B136" t="s">
        <v>996</v>
      </c>
      <c r="C136">
        <v>8</v>
      </c>
      <c r="D136" t="s">
        <v>997</v>
      </c>
      <c r="E136" t="s">
        <v>65</v>
      </c>
      <c r="F136">
        <v>220</v>
      </c>
      <c r="G136">
        <v>650</v>
      </c>
      <c r="H136">
        <v>263</v>
      </c>
      <c r="I136">
        <v>602</v>
      </c>
      <c r="J136">
        <v>-84</v>
      </c>
      <c r="K136">
        <v>150</v>
      </c>
      <c r="L136">
        <v>208.7</v>
      </c>
      <c r="M136" t="s">
        <v>998</v>
      </c>
      <c r="N136" t="s">
        <v>67</v>
      </c>
      <c r="O136" t="s">
        <v>188</v>
      </c>
      <c r="P136" t="s">
        <v>69</v>
      </c>
      <c r="R136" t="s">
        <v>70</v>
      </c>
      <c r="S136" t="s">
        <v>71</v>
      </c>
      <c r="T136" t="s">
        <v>91</v>
      </c>
      <c r="U136">
        <v>831.73</v>
      </c>
      <c r="V136">
        <v>450</v>
      </c>
      <c r="W136">
        <v>1.85</v>
      </c>
      <c r="X136" s="14">
        <v>45523</v>
      </c>
      <c r="Y136" t="s">
        <v>92</v>
      </c>
      <c r="Z136">
        <v>211</v>
      </c>
      <c r="AA136">
        <v>94</v>
      </c>
      <c r="AB136">
        <v>91</v>
      </c>
      <c r="AC136">
        <v>93</v>
      </c>
      <c r="AD136">
        <v>318</v>
      </c>
      <c r="AE136">
        <v>44</v>
      </c>
      <c r="AF136">
        <v>164</v>
      </c>
      <c r="AG136">
        <v>137</v>
      </c>
      <c r="AH136">
        <v>181</v>
      </c>
      <c r="AI136">
        <v>263</v>
      </c>
      <c r="AJ136">
        <v>108</v>
      </c>
      <c r="AO136" t="s">
        <v>999</v>
      </c>
      <c r="AP136">
        <v>0</v>
      </c>
      <c r="AQ136">
        <v>0</v>
      </c>
      <c r="AR136">
        <v>0</v>
      </c>
      <c r="AS136">
        <v>0</v>
      </c>
      <c r="AT136">
        <v>27248400</v>
      </c>
      <c r="AU136" t="s">
        <v>75</v>
      </c>
      <c r="AV136">
        <v>1</v>
      </c>
      <c r="AW136">
        <v>0.50993904409605806</v>
      </c>
      <c r="AX136" t="b">
        <v>0</v>
      </c>
      <c r="AY136" t="s">
        <v>319</v>
      </c>
      <c r="AZ136" t="s">
        <v>320</v>
      </c>
      <c r="BA136">
        <v>0</v>
      </c>
      <c r="BB136">
        <v>0</v>
      </c>
      <c r="BC136" t="s">
        <v>1000</v>
      </c>
      <c r="BD136" t="s">
        <v>1001</v>
      </c>
      <c r="BE136" t="s">
        <v>1002</v>
      </c>
      <c r="BF136" t="s">
        <v>1002</v>
      </c>
    </row>
    <row r="137" spans="1:61" hidden="1" x14ac:dyDescent="0.25">
      <c r="A137" t="s">
        <v>1003</v>
      </c>
      <c r="B137" t="s">
        <v>1004</v>
      </c>
      <c r="C137">
        <v>14</v>
      </c>
      <c r="D137" t="s">
        <v>1005</v>
      </c>
      <c r="E137" t="s">
        <v>65</v>
      </c>
      <c r="F137">
        <v>535</v>
      </c>
      <c r="G137">
        <v>900</v>
      </c>
      <c r="H137">
        <v>505</v>
      </c>
      <c r="I137">
        <v>1492</v>
      </c>
      <c r="J137">
        <v>9186</v>
      </c>
      <c r="K137">
        <v>150</v>
      </c>
      <c r="L137">
        <v>434</v>
      </c>
      <c r="M137" t="s">
        <v>1006</v>
      </c>
      <c r="N137" t="s">
        <v>67</v>
      </c>
      <c r="O137" t="s">
        <v>580</v>
      </c>
      <c r="P137" t="s">
        <v>69</v>
      </c>
      <c r="R137" t="s">
        <v>70</v>
      </c>
      <c r="S137" t="s">
        <v>1007</v>
      </c>
      <c r="T137" t="s">
        <v>91</v>
      </c>
      <c r="U137">
        <v>13881.84</v>
      </c>
      <c r="V137">
        <v>470</v>
      </c>
      <c r="W137">
        <v>29.54</v>
      </c>
      <c r="X137" s="14">
        <v>45457</v>
      </c>
      <c r="Y137" t="s">
        <v>161</v>
      </c>
      <c r="Z137">
        <v>362</v>
      </c>
      <c r="AA137">
        <v>394</v>
      </c>
      <c r="AB137">
        <v>413</v>
      </c>
      <c r="AC137">
        <v>442</v>
      </c>
      <c r="AD137">
        <v>425</v>
      </c>
      <c r="AE137">
        <v>505</v>
      </c>
      <c r="AF137">
        <v>420</v>
      </c>
      <c r="AG137">
        <v>400</v>
      </c>
      <c r="AH137">
        <v>272</v>
      </c>
      <c r="AI137">
        <v>508</v>
      </c>
      <c r="AJ137">
        <v>100</v>
      </c>
      <c r="AO137" t="s">
        <v>1008</v>
      </c>
      <c r="AP137">
        <v>0</v>
      </c>
      <c r="AQ137">
        <v>0</v>
      </c>
      <c r="AR137">
        <v>0</v>
      </c>
      <c r="AS137">
        <v>0</v>
      </c>
      <c r="AT137">
        <v>645991</v>
      </c>
      <c r="AU137" t="s">
        <v>75</v>
      </c>
      <c r="AV137">
        <v>1</v>
      </c>
      <c r="AW137">
        <v>0.28328008974953961</v>
      </c>
      <c r="AX137" t="b">
        <v>0</v>
      </c>
      <c r="AY137" t="s">
        <v>76</v>
      </c>
      <c r="AZ137" t="s">
        <v>77</v>
      </c>
      <c r="BA137">
        <v>0</v>
      </c>
      <c r="BB137">
        <v>0</v>
      </c>
      <c r="BC137" t="s">
        <v>1009</v>
      </c>
      <c r="BD137" t="s">
        <v>1010</v>
      </c>
      <c r="BE137" t="s">
        <v>1011</v>
      </c>
      <c r="BF137" t="s">
        <v>1012</v>
      </c>
      <c r="BG137" t="s">
        <v>585</v>
      </c>
      <c r="BH137" t="s">
        <v>586</v>
      </c>
    </row>
    <row r="138" spans="1:61" hidden="1" x14ac:dyDescent="0.25">
      <c r="A138" t="s">
        <v>1003</v>
      </c>
      <c r="B138" t="s">
        <v>1004</v>
      </c>
      <c r="C138">
        <v>14</v>
      </c>
      <c r="D138" t="s">
        <v>1005</v>
      </c>
      <c r="E138" t="s">
        <v>65</v>
      </c>
      <c r="F138">
        <v>535</v>
      </c>
      <c r="G138">
        <v>900</v>
      </c>
      <c r="H138">
        <v>505</v>
      </c>
      <c r="I138">
        <v>1492</v>
      </c>
      <c r="J138">
        <v>9186</v>
      </c>
      <c r="K138">
        <v>150</v>
      </c>
      <c r="L138">
        <v>434</v>
      </c>
      <c r="M138" t="s">
        <v>1006</v>
      </c>
      <c r="N138" t="s">
        <v>67</v>
      </c>
      <c r="O138" t="s">
        <v>580</v>
      </c>
      <c r="P138" t="s">
        <v>69</v>
      </c>
      <c r="R138" t="s">
        <v>70</v>
      </c>
      <c r="S138" t="s">
        <v>1007</v>
      </c>
      <c r="T138" t="s">
        <v>91</v>
      </c>
      <c r="U138">
        <v>13881.84</v>
      </c>
      <c r="V138">
        <v>470</v>
      </c>
      <c r="W138">
        <v>29.54</v>
      </c>
      <c r="X138" s="14">
        <v>45457</v>
      </c>
      <c r="Y138" t="s">
        <v>161</v>
      </c>
      <c r="Z138">
        <v>362</v>
      </c>
      <c r="AA138">
        <v>394</v>
      </c>
      <c r="AB138">
        <v>413</v>
      </c>
      <c r="AC138">
        <v>442</v>
      </c>
      <c r="AD138">
        <v>425</v>
      </c>
      <c r="AE138">
        <v>505</v>
      </c>
      <c r="AF138">
        <v>420</v>
      </c>
      <c r="AG138">
        <v>400</v>
      </c>
      <c r="AH138">
        <v>272</v>
      </c>
      <c r="AI138">
        <v>508</v>
      </c>
      <c r="AJ138">
        <v>100</v>
      </c>
      <c r="AO138" t="s">
        <v>1008</v>
      </c>
      <c r="AP138">
        <v>0</v>
      </c>
      <c r="AQ138">
        <v>0</v>
      </c>
      <c r="AR138">
        <v>0</v>
      </c>
      <c r="AS138">
        <v>0</v>
      </c>
      <c r="AT138">
        <v>645991</v>
      </c>
      <c r="AU138" t="s">
        <v>75</v>
      </c>
      <c r="AV138">
        <v>1</v>
      </c>
      <c r="AW138">
        <v>0.28328008974953961</v>
      </c>
      <c r="AX138" t="b">
        <v>0</v>
      </c>
      <c r="AY138" t="s">
        <v>76</v>
      </c>
      <c r="AZ138" t="s">
        <v>77</v>
      </c>
      <c r="BA138">
        <v>0</v>
      </c>
      <c r="BB138">
        <v>0</v>
      </c>
      <c r="BC138" t="s">
        <v>1009</v>
      </c>
      <c r="BD138" t="s">
        <v>1010</v>
      </c>
      <c r="BE138" t="s">
        <v>1011</v>
      </c>
      <c r="BF138" t="s">
        <v>1012</v>
      </c>
      <c r="BG138" t="s">
        <v>585</v>
      </c>
      <c r="BH138" t="s">
        <v>586</v>
      </c>
    </row>
    <row r="139" spans="1:61" hidden="1" x14ac:dyDescent="0.25">
      <c r="A139" t="s">
        <v>1013</v>
      </c>
      <c r="B139" t="s">
        <v>1014</v>
      </c>
      <c r="C139">
        <v>14</v>
      </c>
      <c r="D139" t="s">
        <v>1015</v>
      </c>
      <c r="E139" t="s">
        <v>65</v>
      </c>
      <c r="F139">
        <v>42</v>
      </c>
      <c r="G139">
        <v>90</v>
      </c>
      <c r="H139">
        <v>18</v>
      </c>
      <c r="I139">
        <v>50</v>
      </c>
      <c r="J139">
        <v>-436</v>
      </c>
      <c r="K139">
        <v>150</v>
      </c>
      <c r="L139">
        <v>0</v>
      </c>
      <c r="M139" t="s">
        <v>1016</v>
      </c>
      <c r="N139" t="s">
        <v>102</v>
      </c>
      <c r="O139" t="s">
        <v>146</v>
      </c>
      <c r="P139" t="s">
        <v>69</v>
      </c>
      <c r="Q139">
        <v>3</v>
      </c>
      <c r="R139" t="s">
        <v>70</v>
      </c>
      <c r="S139" t="s">
        <v>1017</v>
      </c>
      <c r="T139" t="s">
        <v>1018</v>
      </c>
      <c r="U139">
        <v>4909.82</v>
      </c>
      <c r="V139">
        <v>90</v>
      </c>
      <c r="W139">
        <v>54.55</v>
      </c>
      <c r="X139" s="14">
        <v>45439</v>
      </c>
      <c r="Y139" t="s">
        <v>92</v>
      </c>
      <c r="Z139">
        <v>34</v>
      </c>
      <c r="AA139">
        <v>6</v>
      </c>
      <c r="AB139">
        <v>19</v>
      </c>
      <c r="AC139">
        <v>15</v>
      </c>
      <c r="AD139">
        <v>7</v>
      </c>
      <c r="AE139">
        <v>12</v>
      </c>
      <c r="AF139">
        <v>2</v>
      </c>
      <c r="AG139">
        <v>0</v>
      </c>
      <c r="AH139">
        <v>14</v>
      </c>
      <c r="AI139">
        <v>5</v>
      </c>
      <c r="AJ139">
        <v>18</v>
      </c>
      <c r="AO139" t="s">
        <v>1019</v>
      </c>
      <c r="AP139">
        <v>0</v>
      </c>
      <c r="AQ139">
        <v>40</v>
      </c>
      <c r="AR139">
        <v>0</v>
      </c>
      <c r="AS139">
        <v>1</v>
      </c>
      <c r="AT139">
        <v>29452</v>
      </c>
      <c r="AU139" t="s">
        <v>75</v>
      </c>
      <c r="AV139">
        <v>1.1000000000000001</v>
      </c>
      <c r="AW139">
        <v>0.76870611478580742</v>
      </c>
      <c r="AX139" t="b">
        <v>0</v>
      </c>
      <c r="AY139" t="s">
        <v>124</v>
      </c>
      <c r="AZ139" t="s">
        <v>125</v>
      </c>
      <c r="BA139">
        <v>0</v>
      </c>
      <c r="BB139">
        <v>0</v>
      </c>
      <c r="BC139" t="s">
        <v>1020</v>
      </c>
      <c r="BD139" t="s">
        <v>1021</v>
      </c>
      <c r="BE139" t="s">
        <v>1022</v>
      </c>
      <c r="BF139" t="s">
        <v>1022</v>
      </c>
      <c r="BI139" t="s">
        <v>1023</v>
      </c>
    </row>
    <row r="140" spans="1:61" hidden="1" x14ac:dyDescent="0.25">
      <c r="A140" t="s">
        <v>1024</v>
      </c>
      <c r="B140" t="s">
        <v>1025</v>
      </c>
      <c r="C140">
        <v>50</v>
      </c>
      <c r="D140" t="s">
        <v>1026</v>
      </c>
      <c r="E140" t="s">
        <v>85</v>
      </c>
      <c r="F140">
        <v>15</v>
      </c>
      <c r="G140">
        <v>35</v>
      </c>
      <c r="H140">
        <v>12</v>
      </c>
      <c r="I140">
        <v>46</v>
      </c>
      <c r="J140">
        <v>59</v>
      </c>
      <c r="K140">
        <v>120</v>
      </c>
      <c r="L140">
        <v>-1</v>
      </c>
      <c r="M140" t="s">
        <v>1027</v>
      </c>
      <c r="N140" t="s">
        <v>67</v>
      </c>
      <c r="O140" t="s">
        <v>1028</v>
      </c>
      <c r="P140" t="s">
        <v>69</v>
      </c>
      <c r="R140" t="s">
        <v>121</v>
      </c>
      <c r="S140" t="s">
        <v>1029</v>
      </c>
      <c r="T140" t="s">
        <v>1030</v>
      </c>
      <c r="U140">
        <v>305.77999999999997</v>
      </c>
      <c r="V140">
        <v>36</v>
      </c>
      <c r="W140">
        <v>8.49</v>
      </c>
      <c r="X140" s="14">
        <v>45481</v>
      </c>
      <c r="Y140" t="s">
        <v>92</v>
      </c>
      <c r="Z140">
        <v>50</v>
      </c>
      <c r="AA140">
        <v>9</v>
      </c>
      <c r="AB140">
        <v>6</v>
      </c>
      <c r="AC140">
        <v>9</v>
      </c>
      <c r="AD140">
        <v>12</v>
      </c>
      <c r="AE140">
        <v>3</v>
      </c>
      <c r="AF140">
        <v>0</v>
      </c>
      <c r="AG140">
        <v>12</v>
      </c>
      <c r="AH140">
        <v>0</v>
      </c>
      <c r="AI140">
        <v>0</v>
      </c>
      <c r="AJ140">
        <v>0</v>
      </c>
      <c r="AK140">
        <v>0</v>
      </c>
      <c r="AL140">
        <v>0</v>
      </c>
      <c r="AM140">
        <v>30</v>
      </c>
      <c r="AO140" t="s">
        <v>1031</v>
      </c>
      <c r="AP140">
        <v>0</v>
      </c>
      <c r="AQ140">
        <v>0</v>
      </c>
      <c r="AR140">
        <v>0</v>
      </c>
      <c r="AS140">
        <v>0</v>
      </c>
      <c r="AT140">
        <v>200376</v>
      </c>
      <c r="AU140" t="s">
        <v>75</v>
      </c>
      <c r="AV140">
        <v>1.714285714285714</v>
      </c>
      <c r="AW140">
        <v>1.5884533362892581</v>
      </c>
      <c r="AX140" t="b">
        <v>0</v>
      </c>
      <c r="AY140" t="s">
        <v>857</v>
      </c>
      <c r="AZ140" t="s">
        <v>858</v>
      </c>
      <c r="BA140">
        <v>0</v>
      </c>
      <c r="BB140">
        <v>0</v>
      </c>
      <c r="BC140" t="s">
        <v>1032</v>
      </c>
      <c r="BD140" t="s">
        <v>1033</v>
      </c>
      <c r="BE140" t="s">
        <v>1034</v>
      </c>
      <c r="BF140" t="s">
        <v>1035</v>
      </c>
    </row>
    <row r="141" spans="1:61" hidden="1" x14ac:dyDescent="0.25">
      <c r="A141" t="s">
        <v>1036</v>
      </c>
      <c r="B141" t="s">
        <v>1037</v>
      </c>
      <c r="C141">
        <v>1</v>
      </c>
      <c r="D141" t="s">
        <v>1038</v>
      </c>
      <c r="E141" t="s">
        <v>85</v>
      </c>
      <c r="F141">
        <v>35</v>
      </c>
      <c r="G141">
        <v>100</v>
      </c>
      <c r="H141">
        <v>24</v>
      </c>
      <c r="I141">
        <v>87</v>
      </c>
      <c r="J141">
        <v>-7</v>
      </c>
      <c r="K141">
        <v>210</v>
      </c>
      <c r="L141">
        <v>-10</v>
      </c>
      <c r="M141" t="s">
        <v>1039</v>
      </c>
      <c r="N141" t="s">
        <v>67</v>
      </c>
      <c r="O141" t="s">
        <v>417</v>
      </c>
      <c r="P141" t="s">
        <v>69</v>
      </c>
      <c r="R141" t="s">
        <v>89</v>
      </c>
      <c r="S141" t="s">
        <v>71</v>
      </c>
      <c r="T141" t="s">
        <v>1040</v>
      </c>
      <c r="U141">
        <v>867.96</v>
      </c>
      <c r="V141">
        <v>110</v>
      </c>
      <c r="W141">
        <v>7.89</v>
      </c>
      <c r="X141" s="14">
        <v>45303</v>
      </c>
      <c r="Y141" t="s">
        <v>92</v>
      </c>
      <c r="Z141">
        <v>114</v>
      </c>
      <c r="AA141">
        <v>40</v>
      </c>
      <c r="AB141">
        <v>4</v>
      </c>
      <c r="AC141">
        <v>24</v>
      </c>
      <c r="AD141">
        <v>7</v>
      </c>
      <c r="AE141">
        <v>24</v>
      </c>
      <c r="AF141">
        <v>11</v>
      </c>
      <c r="AG141">
        <v>0</v>
      </c>
      <c r="AO141" t="s">
        <v>1041</v>
      </c>
      <c r="AP141">
        <v>0</v>
      </c>
      <c r="AQ141">
        <v>0</v>
      </c>
      <c r="AR141">
        <v>0</v>
      </c>
      <c r="AS141">
        <v>0</v>
      </c>
      <c r="AT141">
        <v>23522</v>
      </c>
      <c r="AU141" t="s">
        <v>75</v>
      </c>
      <c r="AV141">
        <v>1.142857142857143</v>
      </c>
      <c r="AW141">
        <v>1.2411677763217961</v>
      </c>
      <c r="AX141" t="b">
        <v>0</v>
      </c>
      <c r="AY141" t="s">
        <v>388</v>
      </c>
      <c r="AZ141" t="s">
        <v>389</v>
      </c>
      <c r="BA141">
        <v>0</v>
      </c>
      <c r="BB141">
        <v>0</v>
      </c>
      <c r="BC141" t="s">
        <v>1042</v>
      </c>
      <c r="BD141" t="s">
        <v>1043</v>
      </c>
      <c r="BE141" t="s">
        <v>1044</v>
      </c>
      <c r="BF141" t="s">
        <v>1044</v>
      </c>
    </row>
    <row r="142" spans="1:61" hidden="1" x14ac:dyDescent="0.25">
      <c r="A142" t="s">
        <v>1045</v>
      </c>
      <c r="B142" t="s">
        <v>1046</v>
      </c>
      <c r="C142">
        <v>14</v>
      </c>
      <c r="D142" t="s">
        <v>1047</v>
      </c>
      <c r="E142" t="s">
        <v>85</v>
      </c>
      <c r="F142">
        <v>40</v>
      </c>
      <c r="G142">
        <v>120</v>
      </c>
      <c r="H142">
        <v>45</v>
      </c>
      <c r="I142">
        <v>85</v>
      </c>
      <c r="J142">
        <v>-52</v>
      </c>
      <c r="K142">
        <v>150</v>
      </c>
      <c r="L142">
        <v>4</v>
      </c>
      <c r="M142" t="s">
        <v>1048</v>
      </c>
      <c r="N142" t="s">
        <v>67</v>
      </c>
      <c r="O142" t="s">
        <v>118</v>
      </c>
      <c r="P142" t="s">
        <v>69</v>
      </c>
      <c r="R142" t="s">
        <v>89</v>
      </c>
      <c r="S142" t="s">
        <v>1049</v>
      </c>
      <c r="T142" t="s">
        <v>91</v>
      </c>
      <c r="U142">
        <v>316.2</v>
      </c>
      <c r="V142">
        <v>120</v>
      </c>
      <c r="W142">
        <v>2.64</v>
      </c>
      <c r="X142" s="14">
        <v>44981</v>
      </c>
      <c r="Y142" t="s">
        <v>92</v>
      </c>
      <c r="Z142">
        <v>42</v>
      </c>
      <c r="AA142">
        <v>4</v>
      </c>
      <c r="AB142">
        <v>50</v>
      </c>
      <c r="AC142">
        <v>2</v>
      </c>
      <c r="AD142">
        <v>20</v>
      </c>
      <c r="AE142">
        <v>0</v>
      </c>
      <c r="AF142">
        <v>0</v>
      </c>
      <c r="AG142">
        <v>34</v>
      </c>
      <c r="AH142">
        <v>12</v>
      </c>
      <c r="AI142">
        <v>45</v>
      </c>
      <c r="AJ142">
        <v>0</v>
      </c>
      <c r="AO142" t="s">
        <v>1050</v>
      </c>
      <c r="AP142">
        <v>0</v>
      </c>
      <c r="AQ142">
        <v>0</v>
      </c>
      <c r="AR142">
        <v>0</v>
      </c>
      <c r="AS142">
        <v>0</v>
      </c>
      <c r="AT142">
        <v>0</v>
      </c>
      <c r="AU142" t="s">
        <v>75</v>
      </c>
      <c r="AV142">
        <v>1.375</v>
      </c>
      <c r="AW142">
        <v>1.008400874826846</v>
      </c>
      <c r="AX142" t="b">
        <v>0</v>
      </c>
      <c r="AY142" t="s">
        <v>249</v>
      </c>
      <c r="AZ142" t="s">
        <v>250</v>
      </c>
      <c r="BA142">
        <v>0</v>
      </c>
      <c r="BB142">
        <v>0</v>
      </c>
      <c r="BC142" t="s">
        <v>1051</v>
      </c>
      <c r="BD142" t="s">
        <v>1052</v>
      </c>
      <c r="BE142" t="s">
        <v>1053</v>
      </c>
      <c r="BF142" t="s">
        <v>1053</v>
      </c>
    </row>
    <row r="145" spans="1:61" hidden="1" x14ac:dyDescent="0.25">
      <c r="A145" t="s">
        <v>1054</v>
      </c>
      <c r="B145" t="s">
        <v>174</v>
      </c>
      <c r="C145">
        <v>60</v>
      </c>
      <c r="D145" t="s">
        <v>1055</v>
      </c>
      <c r="E145" t="s">
        <v>85</v>
      </c>
      <c r="F145">
        <v>3</v>
      </c>
      <c r="G145">
        <v>5</v>
      </c>
      <c r="J145">
        <v>0</v>
      </c>
      <c r="K145">
        <v>150</v>
      </c>
      <c r="L145">
        <v>2</v>
      </c>
      <c r="M145" t="s">
        <v>1056</v>
      </c>
      <c r="N145" t="s">
        <v>102</v>
      </c>
      <c r="O145" t="s">
        <v>621</v>
      </c>
      <c r="P145" t="s">
        <v>178</v>
      </c>
      <c r="Q145">
        <v>2</v>
      </c>
      <c r="R145" t="s">
        <v>121</v>
      </c>
      <c r="S145" t="s">
        <v>1057</v>
      </c>
      <c r="U145">
        <v>53.57</v>
      </c>
      <c r="V145">
        <v>3</v>
      </c>
      <c r="W145">
        <v>17.86</v>
      </c>
      <c r="X145" s="14">
        <v>44648</v>
      </c>
      <c r="Z145">
        <v>3</v>
      </c>
      <c r="AA145">
        <v>0</v>
      </c>
      <c r="AB145">
        <v>0</v>
      </c>
      <c r="AC145">
        <v>0</v>
      </c>
      <c r="AD145">
        <v>0</v>
      </c>
      <c r="AE145">
        <v>0</v>
      </c>
      <c r="AF145">
        <v>0</v>
      </c>
      <c r="AG145">
        <v>0</v>
      </c>
      <c r="AH145">
        <v>2</v>
      </c>
      <c r="AI145">
        <v>0</v>
      </c>
      <c r="AJ145">
        <v>1</v>
      </c>
      <c r="AO145" t="s">
        <v>664</v>
      </c>
      <c r="AP145">
        <v>0</v>
      </c>
      <c r="AQ145">
        <v>0</v>
      </c>
      <c r="AR145">
        <v>0</v>
      </c>
      <c r="AS145">
        <v>8</v>
      </c>
      <c r="AT145">
        <v>60</v>
      </c>
      <c r="AU145" t="s">
        <v>75</v>
      </c>
      <c r="AV145">
        <v>3.666666666666667</v>
      </c>
      <c r="AW145">
        <v>1.8104634152000361</v>
      </c>
      <c r="AX145" t="b">
        <v>0</v>
      </c>
      <c r="AY145" t="s">
        <v>857</v>
      </c>
      <c r="AZ145" t="s">
        <v>858</v>
      </c>
      <c r="BA145">
        <v>0</v>
      </c>
      <c r="BB145">
        <v>0</v>
      </c>
      <c r="BC145" t="s">
        <v>1058</v>
      </c>
      <c r="BD145" t="s">
        <v>1059</v>
      </c>
      <c r="BE145" t="s">
        <v>1057</v>
      </c>
      <c r="BF145" t="s">
        <v>1057</v>
      </c>
      <c r="BI145" t="s">
        <v>1060</v>
      </c>
    </row>
    <row r="147" spans="1:61" hidden="1" x14ac:dyDescent="0.25">
      <c r="A147" t="s">
        <v>1061</v>
      </c>
      <c r="B147" t="s">
        <v>1062</v>
      </c>
      <c r="C147">
        <v>12</v>
      </c>
      <c r="D147" t="s">
        <v>1063</v>
      </c>
      <c r="E147" t="s">
        <v>85</v>
      </c>
      <c r="F147">
        <v>4</v>
      </c>
      <c r="G147">
        <v>10</v>
      </c>
      <c r="H147">
        <v>4</v>
      </c>
      <c r="I147">
        <v>8</v>
      </c>
      <c r="J147">
        <v>-42</v>
      </c>
      <c r="K147">
        <v>210</v>
      </c>
      <c r="L147">
        <v>3</v>
      </c>
      <c r="M147" t="s">
        <v>1064</v>
      </c>
      <c r="N147" t="s">
        <v>67</v>
      </c>
      <c r="O147" t="s">
        <v>146</v>
      </c>
      <c r="P147" t="s">
        <v>69</v>
      </c>
      <c r="R147" t="s">
        <v>121</v>
      </c>
      <c r="S147" t="s">
        <v>1065</v>
      </c>
      <c r="T147" t="s">
        <v>1066</v>
      </c>
      <c r="U147">
        <v>294.47000000000003</v>
      </c>
      <c r="V147">
        <v>7</v>
      </c>
      <c r="W147">
        <v>42.07</v>
      </c>
      <c r="X147" s="14">
        <v>45238</v>
      </c>
      <c r="Y147" t="s">
        <v>92</v>
      </c>
      <c r="Z147">
        <v>7</v>
      </c>
      <c r="AA147">
        <v>0</v>
      </c>
      <c r="AB147">
        <v>4</v>
      </c>
      <c r="AC147">
        <v>0</v>
      </c>
      <c r="AD147">
        <v>0</v>
      </c>
      <c r="AE147">
        <v>4</v>
      </c>
      <c r="AF147">
        <v>0</v>
      </c>
      <c r="AG147">
        <v>3</v>
      </c>
      <c r="AO147" t="s">
        <v>1067</v>
      </c>
      <c r="AP147">
        <v>0</v>
      </c>
      <c r="AQ147">
        <v>0</v>
      </c>
      <c r="AR147">
        <v>0</v>
      </c>
      <c r="AS147">
        <v>0</v>
      </c>
      <c r="AT147">
        <v>4636</v>
      </c>
      <c r="AU147" t="s">
        <v>75</v>
      </c>
      <c r="AV147">
        <v>2</v>
      </c>
      <c r="AW147">
        <v>1.105541596785133</v>
      </c>
      <c r="AX147" t="b">
        <v>0</v>
      </c>
      <c r="AY147" t="s">
        <v>857</v>
      </c>
      <c r="AZ147" t="s">
        <v>858</v>
      </c>
      <c r="BA147">
        <v>0</v>
      </c>
      <c r="BB147">
        <v>0</v>
      </c>
      <c r="BC147" t="s">
        <v>1068</v>
      </c>
      <c r="BD147" t="s">
        <v>1069</v>
      </c>
      <c r="BE147" t="s">
        <v>1070</v>
      </c>
      <c r="BF147" t="s">
        <v>1070</v>
      </c>
    </row>
    <row r="148" spans="1:61" x14ac:dyDescent="0.25">
      <c r="X148" s="14"/>
    </row>
    <row r="149" spans="1:61" x14ac:dyDescent="0.25">
      <c r="X149" s="14"/>
    </row>
    <row r="150" spans="1:61" hidden="1" x14ac:dyDescent="0.25">
      <c r="A150" t="s">
        <v>1071</v>
      </c>
      <c r="B150" t="s">
        <v>1072</v>
      </c>
      <c r="C150">
        <v>14</v>
      </c>
      <c r="D150" t="s">
        <v>1073</v>
      </c>
      <c r="E150" t="s">
        <v>85</v>
      </c>
      <c r="F150">
        <v>12</v>
      </c>
      <c r="G150">
        <v>30</v>
      </c>
      <c r="H150">
        <v>17</v>
      </c>
      <c r="I150">
        <v>28</v>
      </c>
      <c r="J150">
        <v>-852</v>
      </c>
      <c r="K150">
        <v>150</v>
      </c>
      <c r="L150">
        <v>10</v>
      </c>
      <c r="M150" t="s">
        <v>1074</v>
      </c>
      <c r="N150" t="s">
        <v>102</v>
      </c>
      <c r="O150" t="s">
        <v>771</v>
      </c>
      <c r="P150" t="s">
        <v>69</v>
      </c>
      <c r="R150" t="s">
        <v>121</v>
      </c>
      <c r="S150" t="s">
        <v>1075</v>
      </c>
      <c r="T150" t="s">
        <v>1076</v>
      </c>
      <c r="U150">
        <v>4870.79</v>
      </c>
      <c r="V150">
        <v>20</v>
      </c>
      <c r="W150">
        <v>243.54</v>
      </c>
      <c r="X150" s="14">
        <v>45538</v>
      </c>
      <c r="Y150" t="s">
        <v>92</v>
      </c>
      <c r="Z150">
        <v>20</v>
      </c>
      <c r="AA150">
        <v>0</v>
      </c>
      <c r="AB150">
        <v>10</v>
      </c>
      <c r="AC150">
        <v>0</v>
      </c>
      <c r="AD150">
        <v>0</v>
      </c>
      <c r="AE150">
        <v>0</v>
      </c>
      <c r="AF150">
        <v>2</v>
      </c>
      <c r="AG150">
        <v>17</v>
      </c>
      <c r="AH150">
        <v>9</v>
      </c>
      <c r="AI150">
        <v>211</v>
      </c>
      <c r="AJ150">
        <v>0</v>
      </c>
      <c r="AO150" t="s">
        <v>1077</v>
      </c>
      <c r="AP150">
        <v>0</v>
      </c>
      <c r="AQ150">
        <v>0</v>
      </c>
      <c r="AR150">
        <v>0</v>
      </c>
      <c r="AS150">
        <v>0</v>
      </c>
      <c r="AT150">
        <v>2635000</v>
      </c>
      <c r="AU150" t="s">
        <v>75</v>
      </c>
      <c r="AV150">
        <v>1.833333333333333</v>
      </c>
      <c r="AW150">
        <v>2.4291454547440088</v>
      </c>
      <c r="AX150" t="b">
        <v>0</v>
      </c>
      <c r="AY150" t="s">
        <v>76</v>
      </c>
      <c r="AZ150" t="s">
        <v>77</v>
      </c>
      <c r="BA150">
        <v>30</v>
      </c>
      <c r="BB150">
        <v>0</v>
      </c>
      <c r="BC150" t="s">
        <v>1078</v>
      </c>
      <c r="BD150" t="s">
        <v>1079</v>
      </c>
      <c r="BE150" t="s">
        <v>1080</v>
      </c>
      <c r="BF150" t="s">
        <v>1080</v>
      </c>
    </row>
    <row r="151" spans="1:61" hidden="1" x14ac:dyDescent="0.25">
      <c r="A151" t="s">
        <v>1081</v>
      </c>
      <c r="B151" t="s">
        <v>1082</v>
      </c>
      <c r="C151">
        <v>14</v>
      </c>
      <c r="D151" t="s">
        <v>1083</v>
      </c>
      <c r="E151" t="s">
        <v>127</v>
      </c>
      <c r="F151">
        <v>2</v>
      </c>
      <c r="G151">
        <v>0</v>
      </c>
      <c r="H151">
        <v>1</v>
      </c>
      <c r="I151">
        <v>1</v>
      </c>
      <c r="J151">
        <v>45</v>
      </c>
      <c r="K151">
        <v>120</v>
      </c>
      <c r="L151">
        <v>0</v>
      </c>
      <c r="M151" t="s">
        <v>1084</v>
      </c>
      <c r="N151" t="s">
        <v>102</v>
      </c>
      <c r="O151" t="s">
        <v>122</v>
      </c>
      <c r="P151" t="s">
        <v>69</v>
      </c>
      <c r="R151" t="s">
        <v>121</v>
      </c>
      <c r="S151" t="s">
        <v>1085</v>
      </c>
      <c r="T151" t="s">
        <v>91</v>
      </c>
      <c r="U151">
        <v>90.06</v>
      </c>
      <c r="V151">
        <v>2</v>
      </c>
      <c r="W151">
        <v>45.03</v>
      </c>
      <c r="X151" s="14">
        <v>45324</v>
      </c>
      <c r="Y151" t="s">
        <v>123</v>
      </c>
      <c r="Z151">
        <v>0</v>
      </c>
      <c r="AA151">
        <v>0</v>
      </c>
      <c r="AB151">
        <v>2</v>
      </c>
      <c r="AC151">
        <v>0</v>
      </c>
      <c r="AD151">
        <v>0</v>
      </c>
      <c r="AO151" t="s">
        <v>381</v>
      </c>
      <c r="AP151">
        <v>0</v>
      </c>
      <c r="AQ151">
        <v>0</v>
      </c>
      <c r="AR151">
        <v>0</v>
      </c>
      <c r="AS151">
        <v>2</v>
      </c>
      <c r="AT151">
        <v>85</v>
      </c>
      <c r="AU151" t="s">
        <v>75</v>
      </c>
      <c r="AV151">
        <v>5</v>
      </c>
      <c r="AW151">
        <v>2</v>
      </c>
      <c r="AX151" t="b">
        <v>0</v>
      </c>
      <c r="AY151" t="s">
        <v>124</v>
      </c>
      <c r="AZ151" t="s">
        <v>125</v>
      </c>
      <c r="BA151">
        <v>0</v>
      </c>
      <c r="BB151">
        <v>0</v>
      </c>
      <c r="BC151" t="s">
        <v>1086</v>
      </c>
      <c r="BD151" t="s">
        <v>1087</v>
      </c>
      <c r="BE151" t="s">
        <v>1088</v>
      </c>
      <c r="BF151" t="s">
        <v>1089</v>
      </c>
      <c r="BG151" t="s">
        <v>1090</v>
      </c>
      <c r="BH151" t="s">
        <v>1091</v>
      </c>
      <c r="BI151" t="s">
        <v>1092</v>
      </c>
    </row>
    <row r="152" spans="1:61" hidden="1" x14ac:dyDescent="0.25">
      <c r="A152" t="s">
        <v>1093</v>
      </c>
      <c r="B152" t="s">
        <v>1094</v>
      </c>
      <c r="C152">
        <v>1</v>
      </c>
      <c r="D152" t="s">
        <v>1095</v>
      </c>
      <c r="E152" t="s">
        <v>65</v>
      </c>
      <c r="F152">
        <v>281</v>
      </c>
      <c r="G152">
        <v>590</v>
      </c>
      <c r="H152">
        <v>180</v>
      </c>
      <c r="I152">
        <v>363</v>
      </c>
      <c r="J152">
        <v>-686</v>
      </c>
      <c r="K152">
        <v>210</v>
      </c>
      <c r="L152">
        <v>244</v>
      </c>
      <c r="M152" t="s">
        <v>1096</v>
      </c>
      <c r="N152" t="s">
        <v>67</v>
      </c>
      <c r="O152" t="s">
        <v>1097</v>
      </c>
      <c r="P152" t="s">
        <v>69</v>
      </c>
      <c r="R152" t="s">
        <v>70</v>
      </c>
      <c r="S152" t="s">
        <v>1098</v>
      </c>
      <c r="T152" t="s">
        <v>91</v>
      </c>
      <c r="U152">
        <v>3815.62</v>
      </c>
      <c r="V152">
        <v>350</v>
      </c>
      <c r="W152">
        <v>10.9</v>
      </c>
      <c r="X152" s="14">
        <v>45518</v>
      </c>
      <c r="Y152" t="s">
        <v>92</v>
      </c>
      <c r="Z152">
        <v>0</v>
      </c>
      <c r="AA152">
        <v>180</v>
      </c>
      <c r="AB152">
        <v>180</v>
      </c>
      <c r="AC152">
        <v>89</v>
      </c>
      <c r="AD152">
        <v>100</v>
      </c>
      <c r="AE152">
        <v>100</v>
      </c>
      <c r="AF152">
        <v>100</v>
      </c>
      <c r="AG152">
        <v>0</v>
      </c>
      <c r="AO152" t="s">
        <v>1099</v>
      </c>
      <c r="AP152">
        <v>0</v>
      </c>
      <c r="AQ152">
        <v>0</v>
      </c>
      <c r="AR152">
        <v>0</v>
      </c>
      <c r="AS152">
        <v>0</v>
      </c>
      <c r="AT152">
        <v>187818</v>
      </c>
      <c r="AU152" t="s">
        <v>75</v>
      </c>
      <c r="AV152">
        <v>1.333333333333333</v>
      </c>
      <c r="AW152">
        <v>0.68178037767217792</v>
      </c>
      <c r="AX152" t="b">
        <v>0</v>
      </c>
      <c r="AY152" t="s">
        <v>612</v>
      </c>
      <c r="AZ152" t="s">
        <v>613</v>
      </c>
      <c r="BA152">
        <v>0</v>
      </c>
      <c r="BB152">
        <v>0</v>
      </c>
      <c r="BC152" t="s">
        <v>1100</v>
      </c>
      <c r="BD152" t="s">
        <v>1101</v>
      </c>
      <c r="BE152" t="s">
        <v>1102</v>
      </c>
      <c r="BF152" t="s">
        <v>1102</v>
      </c>
    </row>
    <row r="153" spans="1:61" hidden="1" x14ac:dyDescent="0.25">
      <c r="A153" t="s">
        <v>62</v>
      </c>
      <c r="B153" t="s">
        <v>63</v>
      </c>
      <c r="C153">
        <v>1</v>
      </c>
      <c r="D153" t="s">
        <v>64</v>
      </c>
      <c r="E153" t="s">
        <v>65</v>
      </c>
      <c r="F153">
        <v>627</v>
      </c>
      <c r="G153">
        <v>1065</v>
      </c>
      <c r="H153">
        <v>486</v>
      </c>
      <c r="I153">
        <v>1783</v>
      </c>
      <c r="J153">
        <v>4892</v>
      </c>
      <c r="K153">
        <v>120</v>
      </c>
      <c r="L153">
        <v>262</v>
      </c>
      <c r="M153" t="s">
        <v>66</v>
      </c>
      <c r="N153" t="s">
        <v>67</v>
      </c>
      <c r="O153" t="s">
        <v>68</v>
      </c>
      <c r="P153" t="s">
        <v>69</v>
      </c>
      <c r="R153" t="s">
        <v>70</v>
      </c>
      <c r="S153" t="s">
        <v>71</v>
      </c>
      <c r="T153" t="s">
        <v>72</v>
      </c>
      <c r="U153">
        <v>9159.94</v>
      </c>
      <c r="V153">
        <v>804</v>
      </c>
      <c r="W153">
        <v>11.39</v>
      </c>
      <c r="X153" s="14">
        <v>44769</v>
      </c>
      <c r="Y153" t="s">
        <v>73</v>
      </c>
      <c r="Z153">
        <v>363</v>
      </c>
      <c r="AA153">
        <v>366</v>
      </c>
      <c r="AB153">
        <v>375</v>
      </c>
      <c r="AC153">
        <v>294</v>
      </c>
      <c r="AD153">
        <v>375</v>
      </c>
      <c r="AE153">
        <v>426</v>
      </c>
      <c r="AF153">
        <v>486</v>
      </c>
      <c r="AG153">
        <v>937</v>
      </c>
      <c r="AH153">
        <v>267</v>
      </c>
      <c r="AI153">
        <v>159</v>
      </c>
      <c r="AJ153">
        <v>324</v>
      </c>
      <c r="AK153">
        <v>612</v>
      </c>
      <c r="AL153">
        <v>48</v>
      </c>
      <c r="AM153">
        <v>0</v>
      </c>
      <c r="AO153" t="s">
        <v>74</v>
      </c>
      <c r="AP153">
        <v>0</v>
      </c>
      <c r="AQ153">
        <v>928</v>
      </c>
      <c r="AR153">
        <v>0</v>
      </c>
      <c r="AS153">
        <v>0</v>
      </c>
      <c r="AT153">
        <v>11956686</v>
      </c>
      <c r="AU153" t="s">
        <v>75</v>
      </c>
      <c r="AV153">
        <v>1</v>
      </c>
      <c r="AW153">
        <v>0.45847688522830837</v>
      </c>
      <c r="AX153" t="b">
        <v>0</v>
      </c>
      <c r="AY153" t="s">
        <v>76</v>
      </c>
      <c r="AZ153" t="s">
        <v>77</v>
      </c>
      <c r="BA153">
        <v>0</v>
      </c>
      <c r="BB153">
        <v>0</v>
      </c>
      <c r="BC153" t="s">
        <v>78</v>
      </c>
      <c r="BD153" t="s">
        <v>79</v>
      </c>
      <c r="BE153" t="s">
        <v>80</v>
      </c>
      <c r="BF153" t="s">
        <v>81</v>
      </c>
    </row>
    <row r="154" spans="1:61" hidden="1" x14ac:dyDescent="0.25">
      <c r="A154" t="s">
        <v>1103</v>
      </c>
      <c r="B154" t="s">
        <v>1104</v>
      </c>
      <c r="C154">
        <v>1</v>
      </c>
      <c r="D154" t="s">
        <v>1105</v>
      </c>
      <c r="E154" t="s">
        <v>85</v>
      </c>
      <c r="F154">
        <v>51</v>
      </c>
      <c r="G154">
        <v>100</v>
      </c>
      <c r="H154">
        <v>28</v>
      </c>
      <c r="I154">
        <v>220</v>
      </c>
      <c r="J154">
        <v>274</v>
      </c>
      <c r="K154">
        <v>150</v>
      </c>
      <c r="L154">
        <v>34</v>
      </c>
      <c r="M154" t="s">
        <v>1106</v>
      </c>
      <c r="N154" t="s">
        <v>67</v>
      </c>
      <c r="O154" t="s">
        <v>236</v>
      </c>
      <c r="P154" t="s">
        <v>69</v>
      </c>
      <c r="R154" t="s">
        <v>89</v>
      </c>
      <c r="S154" t="s">
        <v>1107</v>
      </c>
      <c r="T154" t="s">
        <v>1108</v>
      </c>
      <c r="U154">
        <v>249.7</v>
      </c>
      <c r="V154">
        <v>65</v>
      </c>
      <c r="W154">
        <v>3.84</v>
      </c>
      <c r="X154" s="14">
        <v>45293</v>
      </c>
      <c r="Y154" t="s">
        <v>73</v>
      </c>
      <c r="Z154">
        <v>38</v>
      </c>
      <c r="AA154">
        <v>28</v>
      </c>
      <c r="AB154">
        <v>19</v>
      </c>
      <c r="AC154">
        <v>21</v>
      </c>
      <c r="AD154">
        <v>437</v>
      </c>
      <c r="AE154">
        <v>21</v>
      </c>
      <c r="AF154">
        <v>12</v>
      </c>
      <c r="AG154">
        <v>0</v>
      </c>
      <c r="AH154">
        <v>6</v>
      </c>
      <c r="AI154">
        <v>14</v>
      </c>
      <c r="AJ154">
        <v>22</v>
      </c>
      <c r="AO154" t="s">
        <v>1109</v>
      </c>
      <c r="AP154">
        <v>0</v>
      </c>
      <c r="AQ154">
        <v>0</v>
      </c>
      <c r="AR154">
        <v>0</v>
      </c>
      <c r="AS154">
        <v>0</v>
      </c>
      <c r="AT154">
        <v>0</v>
      </c>
      <c r="AU154" t="s">
        <v>75</v>
      </c>
      <c r="AV154">
        <v>1.1000000000000001</v>
      </c>
      <c r="AW154">
        <v>2.1505676198984491</v>
      </c>
      <c r="AX154" t="b">
        <v>0</v>
      </c>
      <c r="AY154" t="s">
        <v>363</v>
      </c>
      <c r="AZ154" t="s">
        <v>364</v>
      </c>
      <c r="BA154">
        <v>0</v>
      </c>
      <c r="BB154">
        <v>0</v>
      </c>
      <c r="BC154" t="s">
        <v>1110</v>
      </c>
      <c r="BD154" t="s">
        <v>1111</v>
      </c>
      <c r="BE154" t="s">
        <v>1112</v>
      </c>
      <c r="BF154" t="s">
        <v>1112</v>
      </c>
    </row>
    <row r="156" spans="1:61" hidden="1" x14ac:dyDescent="0.25">
      <c r="A156" t="s">
        <v>1113</v>
      </c>
      <c r="B156" t="s">
        <v>1114</v>
      </c>
      <c r="C156">
        <v>29</v>
      </c>
      <c r="D156" t="s">
        <v>1115</v>
      </c>
      <c r="E156" t="s">
        <v>85</v>
      </c>
      <c r="F156">
        <v>2</v>
      </c>
      <c r="G156">
        <v>5</v>
      </c>
      <c r="H156">
        <v>4</v>
      </c>
      <c r="I156">
        <v>6</v>
      </c>
      <c r="J156">
        <v>-48</v>
      </c>
      <c r="K156">
        <v>150</v>
      </c>
      <c r="L156">
        <v>1</v>
      </c>
      <c r="M156" t="s">
        <v>1116</v>
      </c>
      <c r="N156" t="s">
        <v>67</v>
      </c>
      <c r="O156" t="s">
        <v>195</v>
      </c>
      <c r="P156" t="s">
        <v>69</v>
      </c>
      <c r="R156" t="s">
        <v>121</v>
      </c>
      <c r="S156" t="s">
        <v>71</v>
      </c>
      <c r="T156" t="s">
        <v>91</v>
      </c>
      <c r="U156">
        <v>385.64</v>
      </c>
      <c r="V156">
        <v>4</v>
      </c>
      <c r="W156">
        <v>96.41</v>
      </c>
      <c r="X156" s="14">
        <v>44725</v>
      </c>
      <c r="Y156" t="s">
        <v>123</v>
      </c>
      <c r="Z156">
        <v>4</v>
      </c>
      <c r="AA156">
        <v>0</v>
      </c>
      <c r="AB156">
        <v>0</v>
      </c>
      <c r="AC156">
        <v>0</v>
      </c>
      <c r="AD156">
        <v>0</v>
      </c>
      <c r="AE156">
        <v>0</v>
      </c>
      <c r="AF156">
        <v>1</v>
      </c>
      <c r="AG156">
        <v>5</v>
      </c>
      <c r="AH156">
        <v>1</v>
      </c>
      <c r="AI156">
        <v>2</v>
      </c>
      <c r="AJ156">
        <v>0</v>
      </c>
      <c r="AO156" t="s">
        <v>1117</v>
      </c>
      <c r="AP156">
        <v>0</v>
      </c>
      <c r="AQ156">
        <v>0</v>
      </c>
      <c r="AR156">
        <v>0</v>
      </c>
      <c r="AS156">
        <v>0</v>
      </c>
      <c r="AT156">
        <v>77520</v>
      </c>
      <c r="AU156" t="s">
        <v>75</v>
      </c>
      <c r="AV156">
        <v>2.2000000000000002</v>
      </c>
      <c r="AW156">
        <v>1.434981392782894</v>
      </c>
      <c r="AX156" t="b">
        <v>0</v>
      </c>
      <c r="AY156" t="s">
        <v>400</v>
      </c>
      <c r="AZ156" t="s">
        <v>401</v>
      </c>
      <c r="BA156">
        <v>0</v>
      </c>
      <c r="BB156">
        <v>0</v>
      </c>
      <c r="BC156" t="s">
        <v>1118</v>
      </c>
      <c r="BD156" t="s">
        <v>1119</v>
      </c>
      <c r="BE156" t="s">
        <v>1120</v>
      </c>
      <c r="BF156" t="s">
        <v>1120</v>
      </c>
    </row>
    <row r="157" spans="1:61" x14ac:dyDescent="0.25">
      <c r="X157" s="14"/>
    </row>
    <row r="158" spans="1:61" hidden="1" x14ac:dyDescent="0.25">
      <c r="A158" t="s">
        <v>1121</v>
      </c>
      <c r="B158" t="s">
        <v>1122</v>
      </c>
      <c r="C158">
        <v>14</v>
      </c>
      <c r="D158" t="s">
        <v>1123</v>
      </c>
      <c r="E158" t="s">
        <v>85</v>
      </c>
      <c r="F158">
        <v>3</v>
      </c>
      <c r="G158">
        <v>5</v>
      </c>
      <c r="H158">
        <v>4</v>
      </c>
      <c r="I158">
        <v>28</v>
      </c>
      <c r="J158">
        <v>54</v>
      </c>
      <c r="K158">
        <v>180</v>
      </c>
      <c r="L158">
        <v>0</v>
      </c>
      <c r="M158" t="s">
        <v>1124</v>
      </c>
      <c r="N158" t="s">
        <v>102</v>
      </c>
      <c r="O158" t="s">
        <v>146</v>
      </c>
      <c r="P158" t="s">
        <v>69</v>
      </c>
      <c r="Q158">
        <v>3</v>
      </c>
      <c r="R158" t="s">
        <v>89</v>
      </c>
      <c r="S158" t="s">
        <v>1125</v>
      </c>
      <c r="T158" t="s">
        <v>1126</v>
      </c>
      <c r="U158">
        <v>24.65</v>
      </c>
      <c r="V158">
        <v>5</v>
      </c>
      <c r="W158">
        <v>4.93</v>
      </c>
      <c r="X158" s="14">
        <v>45527</v>
      </c>
      <c r="Y158" t="s">
        <v>92</v>
      </c>
      <c r="Z158">
        <v>4</v>
      </c>
      <c r="AA158">
        <v>11</v>
      </c>
      <c r="AB158">
        <v>2</v>
      </c>
      <c r="AC158">
        <v>1</v>
      </c>
      <c r="AD158">
        <v>1</v>
      </c>
      <c r="AE158">
        <v>5</v>
      </c>
      <c r="AF158">
        <v>0</v>
      </c>
      <c r="AG158">
        <v>3</v>
      </c>
      <c r="AH158">
        <v>1</v>
      </c>
      <c r="AO158" t="s">
        <v>1127</v>
      </c>
      <c r="AP158">
        <v>0</v>
      </c>
      <c r="AQ158">
        <v>50</v>
      </c>
      <c r="AR158">
        <v>0</v>
      </c>
      <c r="AS158">
        <v>1</v>
      </c>
      <c r="AT158">
        <v>980</v>
      </c>
      <c r="AU158" t="s">
        <v>75</v>
      </c>
      <c r="AV158">
        <v>1.125</v>
      </c>
      <c r="AW158">
        <v>1.021453546148221</v>
      </c>
      <c r="AX158" t="b">
        <v>0</v>
      </c>
      <c r="AY158" t="s">
        <v>634</v>
      </c>
      <c r="AZ158" t="s">
        <v>635</v>
      </c>
      <c r="BA158">
        <v>0</v>
      </c>
      <c r="BB158">
        <v>0</v>
      </c>
      <c r="BC158" t="s">
        <v>1128</v>
      </c>
      <c r="BD158" t="s">
        <v>1129</v>
      </c>
      <c r="BE158" t="s">
        <v>1130</v>
      </c>
      <c r="BF158" t="s">
        <v>1130</v>
      </c>
      <c r="BI158" t="s">
        <v>1131</v>
      </c>
    </row>
    <row r="159" spans="1:61" hidden="1" x14ac:dyDescent="0.25">
      <c r="A159" t="s">
        <v>1132</v>
      </c>
      <c r="B159" t="s">
        <v>1133</v>
      </c>
      <c r="C159">
        <v>15</v>
      </c>
      <c r="D159" t="s">
        <v>1134</v>
      </c>
      <c r="E159" t="s">
        <v>85</v>
      </c>
      <c r="F159">
        <v>60</v>
      </c>
      <c r="G159">
        <v>150</v>
      </c>
      <c r="H159">
        <v>74</v>
      </c>
      <c r="I159">
        <v>167</v>
      </c>
      <c r="J159">
        <v>7</v>
      </c>
      <c r="K159">
        <v>270</v>
      </c>
      <c r="L159">
        <v>27</v>
      </c>
      <c r="M159" t="s">
        <v>1135</v>
      </c>
      <c r="N159" t="s">
        <v>67</v>
      </c>
      <c r="O159" t="s">
        <v>1136</v>
      </c>
      <c r="P159" t="s">
        <v>69</v>
      </c>
      <c r="R159" t="s">
        <v>70</v>
      </c>
      <c r="S159" t="s">
        <v>71</v>
      </c>
      <c r="T159" t="s">
        <v>91</v>
      </c>
      <c r="U159">
        <v>631.76</v>
      </c>
      <c r="V159">
        <v>123</v>
      </c>
      <c r="W159">
        <v>5.14</v>
      </c>
      <c r="X159" s="14">
        <v>45439</v>
      </c>
      <c r="Y159" t="s">
        <v>92</v>
      </c>
      <c r="Z159">
        <v>123</v>
      </c>
      <c r="AA159">
        <v>65</v>
      </c>
      <c r="AB159">
        <v>16</v>
      </c>
      <c r="AC159">
        <v>74</v>
      </c>
      <c r="AD159">
        <v>19</v>
      </c>
      <c r="AE159">
        <v>24</v>
      </c>
      <c r="AO159" t="s">
        <v>1137</v>
      </c>
      <c r="AP159">
        <v>0</v>
      </c>
      <c r="AQ159">
        <v>0</v>
      </c>
      <c r="AR159">
        <v>0</v>
      </c>
      <c r="AS159">
        <v>0</v>
      </c>
      <c r="AT159">
        <v>13811</v>
      </c>
      <c r="AU159" t="s">
        <v>75</v>
      </c>
      <c r="AV159">
        <v>1</v>
      </c>
      <c r="AW159">
        <v>0.71784380965285144</v>
      </c>
      <c r="AX159" t="b">
        <v>0</v>
      </c>
      <c r="AY159" t="s">
        <v>310</v>
      </c>
      <c r="AZ159" t="s">
        <v>311</v>
      </c>
      <c r="BA159">
        <v>0</v>
      </c>
      <c r="BB159">
        <v>0</v>
      </c>
      <c r="BC159" t="s">
        <v>1138</v>
      </c>
      <c r="BD159" t="s">
        <v>1139</v>
      </c>
      <c r="BE159" t="s">
        <v>1140</v>
      </c>
      <c r="BF159" t="s">
        <v>1140</v>
      </c>
    </row>
    <row r="161" spans="1:61" x14ac:dyDescent="0.25">
      <c r="X161" s="14"/>
    </row>
    <row r="162" spans="1:61" x14ac:dyDescent="0.25">
      <c r="X162" s="14"/>
    </row>
    <row r="164" spans="1:61" x14ac:dyDescent="0.25">
      <c r="X164" s="14"/>
    </row>
    <row r="165" spans="1:61" x14ac:dyDescent="0.25">
      <c r="X165" s="14"/>
    </row>
    <row r="166" spans="1:61" hidden="1" x14ac:dyDescent="0.25">
      <c r="A166" t="s">
        <v>1141</v>
      </c>
      <c r="B166" t="s">
        <v>1142</v>
      </c>
      <c r="C166">
        <v>8</v>
      </c>
      <c r="D166" t="s">
        <v>1143</v>
      </c>
      <c r="E166" t="s">
        <v>65</v>
      </c>
      <c r="F166">
        <v>473</v>
      </c>
      <c r="G166">
        <v>1200</v>
      </c>
      <c r="H166">
        <v>254</v>
      </c>
      <c r="I166">
        <v>755</v>
      </c>
      <c r="J166">
        <v>-36</v>
      </c>
      <c r="K166">
        <v>180</v>
      </c>
      <c r="L166">
        <v>344</v>
      </c>
      <c r="M166" t="s">
        <v>1144</v>
      </c>
      <c r="N166" t="s">
        <v>67</v>
      </c>
      <c r="O166" t="s">
        <v>120</v>
      </c>
      <c r="P166" t="s">
        <v>69</v>
      </c>
      <c r="R166" t="s">
        <v>70</v>
      </c>
      <c r="S166" t="s">
        <v>71</v>
      </c>
      <c r="T166" t="s">
        <v>1145</v>
      </c>
      <c r="U166">
        <v>284.57</v>
      </c>
      <c r="V166">
        <v>900</v>
      </c>
      <c r="W166">
        <v>0.32</v>
      </c>
      <c r="X166" s="14">
        <v>45222</v>
      </c>
      <c r="Y166" t="s">
        <v>92</v>
      </c>
      <c r="Z166">
        <v>129</v>
      </c>
      <c r="AA166">
        <v>273</v>
      </c>
      <c r="AB166">
        <v>254</v>
      </c>
      <c r="AC166">
        <v>177</v>
      </c>
      <c r="AD166">
        <v>467</v>
      </c>
      <c r="AE166">
        <v>201</v>
      </c>
      <c r="AF166">
        <v>120</v>
      </c>
      <c r="AG166">
        <v>164</v>
      </c>
      <c r="AH166">
        <v>121</v>
      </c>
      <c r="AO166" t="s">
        <v>1146</v>
      </c>
      <c r="AP166">
        <v>0</v>
      </c>
      <c r="AQ166">
        <v>0</v>
      </c>
      <c r="AR166">
        <v>0</v>
      </c>
      <c r="AS166">
        <v>0</v>
      </c>
      <c r="AT166">
        <v>4860</v>
      </c>
      <c r="AU166" t="s">
        <v>75</v>
      </c>
      <c r="AV166">
        <v>1</v>
      </c>
      <c r="AW166">
        <v>0.49221344971982489</v>
      </c>
      <c r="AX166" t="b">
        <v>0</v>
      </c>
      <c r="AY166" t="s">
        <v>388</v>
      </c>
      <c r="AZ166" t="s">
        <v>389</v>
      </c>
      <c r="BA166">
        <v>0</v>
      </c>
      <c r="BB166">
        <v>0</v>
      </c>
      <c r="BC166" t="s">
        <v>1147</v>
      </c>
      <c r="BD166" t="s">
        <v>1148</v>
      </c>
      <c r="BE166" t="s">
        <v>1149</v>
      </c>
      <c r="BF166" t="s">
        <v>1149</v>
      </c>
    </row>
    <row r="167" spans="1:61" x14ac:dyDescent="0.25">
      <c r="X167" s="14"/>
    </row>
    <row r="168" spans="1:61" hidden="1" x14ac:dyDescent="0.25">
      <c r="A168" t="s">
        <v>1150</v>
      </c>
      <c r="B168" t="s">
        <v>1151</v>
      </c>
      <c r="C168">
        <v>36</v>
      </c>
      <c r="D168" t="s">
        <v>1152</v>
      </c>
      <c r="E168" t="s">
        <v>85</v>
      </c>
      <c r="F168">
        <v>400</v>
      </c>
      <c r="G168">
        <v>1000</v>
      </c>
      <c r="H168">
        <v>200</v>
      </c>
      <c r="I168">
        <v>1301</v>
      </c>
      <c r="J168">
        <v>10</v>
      </c>
      <c r="K168">
        <v>150</v>
      </c>
      <c r="L168">
        <v>0</v>
      </c>
      <c r="M168" t="s">
        <v>1153</v>
      </c>
      <c r="N168" t="s">
        <v>67</v>
      </c>
      <c r="O168" t="s">
        <v>120</v>
      </c>
      <c r="P168" t="s">
        <v>69</v>
      </c>
      <c r="R168" t="s">
        <v>89</v>
      </c>
      <c r="S168" t="s">
        <v>1154</v>
      </c>
      <c r="T168" t="s">
        <v>1155</v>
      </c>
      <c r="U168">
        <v>43.07</v>
      </c>
      <c r="V168">
        <v>1000</v>
      </c>
      <c r="W168">
        <v>0.04</v>
      </c>
      <c r="X168" s="14">
        <v>45349</v>
      </c>
      <c r="Y168" t="s">
        <v>92</v>
      </c>
      <c r="Z168">
        <v>100</v>
      </c>
      <c r="AA168">
        <v>0</v>
      </c>
      <c r="AB168">
        <v>200</v>
      </c>
      <c r="AC168">
        <v>0</v>
      </c>
      <c r="AD168">
        <v>150</v>
      </c>
      <c r="AE168">
        <v>400</v>
      </c>
      <c r="AF168">
        <v>250</v>
      </c>
      <c r="AG168">
        <v>100</v>
      </c>
      <c r="AH168">
        <v>100</v>
      </c>
      <c r="AI168">
        <v>200</v>
      </c>
      <c r="AJ168">
        <v>0</v>
      </c>
      <c r="AO168" t="s">
        <v>1156</v>
      </c>
      <c r="AP168">
        <v>0</v>
      </c>
      <c r="AQ168">
        <v>700</v>
      </c>
      <c r="AR168">
        <v>0</v>
      </c>
      <c r="AS168">
        <v>0</v>
      </c>
      <c r="AT168">
        <v>500</v>
      </c>
      <c r="AU168" t="s">
        <v>75</v>
      </c>
      <c r="AV168">
        <v>1.375</v>
      </c>
      <c r="AW168">
        <v>0.85764535535124042</v>
      </c>
      <c r="AX168" t="b">
        <v>0</v>
      </c>
      <c r="AY168" t="s">
        <v>76</v>
      </c>
      <c r="AZ168" t="s">
        <v>77</v>
      </c>
      <c r="BA168">
        <v>0</v>
      </c>
      <c r="BB168">
        <v>0</v>
      </c>
      <c r="BC168" t="s">
        <v>1157</v>
      </c>
      <c r="BD168" t="s">
        <v>1158</v>
      </c>
      <c r="BE168" t="s">
        <v>1159</v>
      </c>
      <c r="BF168" t="s">
        <v>1159</v>
      </c>
    </row>
    <row r="169" spans="1:61" hidden="1" x14ac:dyDescent="0.25">
      <c r="A169" t="s">
        <v>1160</v>
      </c>
      <c r="B169" t="s">
        <v>1161</v>
      </c>
      <c r="C169">
        <v>1</v>
      </c>
      <c r="D169" t="s">
        <v>1162</v>
      </c>
      <c r="E169" t="s">
        <v>65</v>
      </c>
      <c r="F169">
        <v>1575</v>
      </c>
      <c r="G169">
        <v>3800</v>
      </c>
      <c r="H169">
        <v>1566</v>
      </c>
      <c r="I169">
        <v>3143</v>
      </c>
      <c r="J169">
        <v>-29</v>
      </c>
      <c r="K169">
        <v>210</v>
      </c>
      <c r="L169">
        <v>892</v>
      </c>
      <c r="M169" t="s">
        <v>1163</v>
      </c>
      <c r="N169" t="s">
        <v>67</v>
      </c>
      <c r="O169" t="s">
        <v>120</v>
      </c>
      <c r="P169" t="s">
        <v>69</v>
      </c>
      <c r="R169" t="s">
        <v>70</v>
      </c>
      <c r="S169" t="s">
        <v>1164</v>
      </c>
      <c r="T169" t="s">
        <v>91</v>
      </c>
      <c r="U169">
        <v>277.91000000000003</v>
      </c>
      <c r="V169">
        <v>3000</v>
      </c>
      <c r="W169">
        <v>0.09</v>
      </c>
      <c r="X169" s="14">
        <v>45005</v>
      </c>
      <c r="Y169" t="s">
        <v>92</v>
      </c>
      <c r="Z169">
        <v>1566</v>
      </c>
      <c r="AA169">
        <v>600</v>
      </c>
      <c r="AB169">
        <v>580</v>
      </c>
      <c r="AC169">
        <v>1600</v>
      </c>
      <c r="AD169">
        <v>385</v>
      </c>
      <c r="AE169">
        <v>1287</v>
      </c>
      <c r="AF169">
        <v>1100</v>
      </c>
      <c r="AG169">
        <v>800</v>
      </c>
      <c r="AO169" t="s">
        <v>1165</v>
      </c>
      <c r="AP169">
        <v>0</v>
      </c>
      <c r="AQ169">
        <v>0</v>
      </c>
      <c r="AR169">
        <v>0</v>
      </c>
      <c r="AS169">
        <v>0</v>
      </c>
      <c r="AT169">
        <v>8460</v>
      </c>
      <c r="AU169" t="s">
        <v>75</v>
      </c>
      <c r="AV169">
        <v>1</v>
      </c>
      <c r="AW169">
        <v>0.44134605785822351</v>
      </c>
      <c r="AX169" t="b">
        <v>0</v>
      </c>
      <c r="AY169" t="s">
        <v>857</v>
      </c>
      <c r="AZ169" t="s">
        <v>858</v>
      </c>
      <c r="BA169">
        <v>0</v>
      </c>
      <c r="BB169">
        <v>0</v>
      </c>
      <c r="BC169" t="s">
        <v>1166</v>
      </c>
      <c r="BD169" t="s">
        <v>1167</v>
      </c>
      <c r="BE169" t="s">
        <v>1168</v>
      </c>
      <c r="BF169" t="s">
        <v>1168</v>
      </c>
    </row>
    <row r="170" spans="1:61" x14ac:dyDescent="0.25">
      <c r="X170" s="14"/>
    </row>
    <row r="171" spans="1:61" hidden="1" x14ac:dyDescent="0.25">
      <c r="A171" t="s">
        <v>1169</v>
      </c>
      <c r="B171" t="s">
        <v>1170</v>
      </c>
      <c r="C171">
        <v>14</v>
      </c>
      <c r="D171" t="s">
        <v>1171</v>
      </c>
      <c r="E171" t="s">
        <v>85</v>
      </c>
      <c r="F171">
        <v>25</v>
      </c>
      <c r="G171">
        <v>80</v>
      </c>
      <c r="H171">
        <v>57</v>
      </c>
      <c r="I171">
        <v>123</v>
      </c>
      <c r="J171">
        <v>13</v>
      </c>
      <c r="K171">
        <v>150</v>
      </c>
      <c r="L171">
        <v>-11</v>
      </c>
      <c r="M171" t="s">
        <v>1172</v>
      </c>
      <c r="N171" t="s">
        <v>102</v>
      </c>
      <c r="O171" t="s">
        <v>159</v>
      </c>
      <c r="P171" t="s">
        <v>69</v>
      </c>
      <c r="R171" t="s">
        <v>121</v>
      </c>
      <c r="S171" t="s">
        <v>1173</v>
      </c>
      <c r="T171" t="s">
        <v>91</v>
      </c>
      <c r="U171">
        <v>235.35</v>
      </c>
      <c r="V171">
        <v>95</v>
      </c>
      <c r="W171">
        <v>2.48</v>
      </c>
      <c r="X171" s="14">
        <v>45470</v>
      </c>
      <c r="Y171" t="s">
        <v>73</v>
      </c>
      <c r="Z171">
        <v>83</v>
      </c>
      <c r="AA171">
        <v>57</v>
      </c>
      <c r="AB171">
        <v>24</v>
      </c>
      <c r="AC171">
        <v>6</v>
      </c>
      <c r="AD171">
        <v>9</v>
      </c>
      <c r="AE171">
        <v>18</v>
      </c>
      <c r="AF171">
        <v>0</v>
      </c>
      <c r="AG171">
        <v>0</v>
      </c>
      <c r="AH171">
        <v>0</v>
      </c>
      <c r="AI171">
        <v>0</v>
      </c>
      <c r="AJ171">
        <v>0</v>
      </c>
      <c r="AO171" t="s">
        <v>1174</v>
      </c>
      <c r="AP171">
        <v>0</v>
      </c>
      <c r="AQ171">
        <v>0</v>
      </c>
      <c r="AR171">
        <v>0</v>
      </c>
      <c r="AS171">
        <v>0</v>
      </c>
      <c r="AT171">
        <v>11578</v>
      </c>
      <c r="AU171" t="s">
        <v>75</v>
      </c>
      <c r="AV171">
        <v>1.833333333333333</v>
      </c>
      <c r="AW171">
        <v>1.470294732538618</v>
      </c>
      <c r="AX171" t="b">
        <v>0</v>
      </c>
      <c r="AY171" t="s">
        <v>634</v>
      </c>
      <c r="AZ171" t="s">
        <v>635</v>
      </c>
      <c r="BA171">
        <v>0</v>
      </c>
      <c r="BB171">
        <v>0</v>
      </c>
      <c r="BC171" t="s">
        <v>1175</v>
      </c>
      <c r="BD171" t="s">
        <v>1176</v>
      </c>
      <c r="BE171" t="s">
        <v>1177</v>
      </c>
      <c r="BF171" t="s">
        <v>1178</v>
      </c>
    </row>
    <row r="172" spans="1:61" hidden="1" x14ac:dyDescent="0.25">
      <c r="A172" t="s">
        <v>1179</v>
      </c>
      <c r="B172" t="s">
        <v>1180</v>
      </c>
      <c r="C172">
        <v>1</v>
      </c>
      <c r="D172" t="s">
        <v>1181</v>
      </c>
      <c r="E172" t="s">
        <v>85</v>
      </c>
      <c r="F172">
        <v>35</v>
      </c>
      <c r="G172">
        <v>70</v>
      </c>
      <c r="H172">
        <v>25</v>
      </c>
      <c r="I172">
        <v>67</v>
      </c>
      <c r="J172">
        <v>115</v>
      </c>
      <c r="K172">
        <v>120</v>
      </c>
      <c r="L172">
        <v>34</v>
      </c>
      <c r="M172" t="s">
        <v>1182</v>
      </c>
      <c r="N172" t="s">
        <v>67</v>
      </c>
      <c r="O172" t="s">
        <v>917</v>
      </c>
      <c r="P172" t="s">
        <v>69</v>
      </c>
      <c r="R172" t="s">
        <v>70</v>
      </c>
      <c r="S172" t="s">
        <v>1183</v>
      </c>
      <c r="T172" t="s">
        <v>91</v>
      </c>
      <c r="U172">
        <v>1190.56</v>
      </c>
      <c r="V172">
        <v>36</v>
      </c>
      <c r="W172">
        <v>33.07</v>
      </c>
      <c r="X172" s="14">
        <v>45320</v>
      </c>
      <c r="Y172" t="s">
        <v>92</v>
      </c>
      <c r="Z172">
        <v>18</v>
      </c>
      <c r="AA172">
        <v>8</v>
      </c>
      <c r="AB172">
        <v>3</v>
      </c>
      <c r="AC172">
        <v>26</v>
      </c>
      <c r="AD172">
        <v>7</v>
      </c>
      <c r="AE172">
        <v>25</v>
      </c>
      <c r="AF172">
        <v>17</v>
      </c>
      <c r="AG172">
        <v>10</v>
      </c>
      <c r="AH172">
        <v>10</v>
      </c>
      <c r="AI172">
        <v>0</v>
      </c>
      <c r="AJ172">
        <v>0</v>
      </c>
      <c r="AK172">
        <v>14</v>
      </c>
      <c r="AL172">
        <v>12</v>
      </c>
      <c r="AM172">
        <v>0</v>
      </c>
      <c r="AO172" t="s">
        <v>1184</v>
      </c>
      <c r="AP172">
        <v>4</v>
      </c>
      <c r="AQ172">
        <v>0</v>
      </c>
      <c r="AR172">
        <v>0</v>
      </c>
      <c r="AS172">
        <v>0</v>
      </c>
      <c r="AT172">
        <v>0</v>
      </c>
      <c r="AU172" t="s">
        <v>75</v>
      </c>
      <c r="AV172">
        <v>1.2</v>
      </c>
      <c r="AW172">
        <v>0.72969251450284667</v>
      </c>
      <c r="AX172" t="b">
        <v>0</v>
      </c>
      <c r="AY172" t="s">
        <v>1185</v>
      </c>
      <c r="AZ172" t="s">
        <v>1186</v>
      </c>
      <c r="BA172">
        <v>0</v>
      </c>
      <c r="BB172">
        <v>0</v>
      </c>
      <c r="BC172" t="s">
        <v>1187</v>
      </c>
      <c r="BD172" t="s">
        <v>1188</v>
      </c>
      <c r="BE172" t="s">
        <v>1189</v>
      </c>
      <c r="BF172" t="s">
        <v>1190</v>
      </c>
    </row>
    <row r="173" spans="1:61" x14ac:dyDescent="0.25">
      <c r="X173" s="14"/>
    </row>
    <row r="174" spans="1:61" hidden="1" x14ac:dyDescent="0.25">
      <c r="A174" t="s">
        <v>1191</v>
      </c>
      <c r="B174" t="s">
        <v>913</v>
      </c>
      <c r="C174">
        <v>27</v>
      </c>
      <c r="D174" t="s">
        <v>1192</v>
      </c>
      <c r="E174" t="s">
        <v>85</v>
      </c>
      <c r="F174">
        <v>1</v>
      </c>
      <c r="G174">
        <v>3</v>
      </c>
      <c r="J174">
        <v>0</v>
      </c>
      <c r="K174">
        <v>150</v>
      </c>
      <c r="L174">
        <v>-1</v>
      </c>
      <c r="M174" t="s">
        <v>1193</v>
      </c>
      <c r="N174" t="s">
        <v>102</v>
      </c>
      <c r="O174" t="s">
        <v>146</v>
      </c>
      <c r="P174" t="s">
        <v>1194</v>
      </c>
      <c r="Q174">
        <v>2</v>
      </c>
      <c r="R174" t="s">
        <v>121</v>
      </c>
      <c r="S174" t="s">
        <v>1195</v>
      </c>
      <c r="U174">
        <v>688.92</v>
      </c>
      <c r="V174">
        <v>4</v>
      </c>
      <c r="W174">
        <v>172.23</v>
      </c>
      <c r="X174" s="14">
        <v>45154</v>
      </c>
      <c r="Z174">
        <v>3</v>
      </c>
      <c r="AA174">
        <v>0</v>
      </c>
      <c r="AB174">
        <v>0</v>
      </c>
      <c r="AC174">
        <v>0</v>
      </c>
      <c r="AD174">
        <v>0</v>
      </c>
      <c r="AE174">
        <v>0</v>
      </c>
      <c r="AF174">
        <v>0</v>
      </c>
      <c r="AG174">
        <v>0</v>
      </c>
      <c r="AH174">
        <v>0</v>
      </c>
      <c r="AI174">
        <v>0</v>
      </c>
      <c r="AJ174">
        <v>0</v>
      </c>
      <c r="AO174" t="s">
        <v>260</v>
      </c>
      <c r="AP174">
        <v>0</v>
      </c>
      <c r="AQ174">
        <v>0</v>
      </c>
      <c r="AR174">
        <v>0</v>
      </c>
      <c r="AS174">
        <v>16</v>
      </c>
      <c r="AT174">
        <v>7843</v>
      </c>
      <c r="AU174" t="s">
        <v>75</v>
      </c>
      <c r="AV174">
        <v>11</v>
      </c>
      <c r="AW174">
        <v>3.16227766016838</v>
      </c>
      <c r="AX174" t="b">
        <v>0</v>
      </c>
      <c r="AY174" t="s">
        <v>1196</v>
      </c>
      <c r="AZ174" t="s">
        <v>1197</v>
      </c>
      <c r="BA174">
        <v>0</v>
      </c>
      <c r="BB174">
        <v>0</v>
      </c>
      <c r="BC174" t="s">
        <v>1198</v>
      </c>
      <c r="BD174" t="s">
        <v>1199</v>
      </c>
      <c r="BE174" t="s">
        <v>1200</v>
      </c>
      <c r="BF174" t="s">
        <v>1200</v>
      </c>
      <c r="BI174" t="s">
        <v>1201</v>
      </c>
    </row>
    <row r="176" spans="1:61" hidden="1" x14ac:dyDescent="0.25">
      <c r="A176" t="s">
        <v>1202</v>
      </c>
      <c r="B176" t="s">
        <v>1203</v>
      </c>
      <c r="C176">
        <v>14</v>
      </c>
      <c r="D176" t="s">
        <v>1204</v>
      </c>
      <c r="E176" t="s">
        <v>85</v>
      </c>
      <c r="F176">
        <v>101</v>
      </c>
      <c r="G176">
        <v>200</v>
      </c>
      <c r="H176">
        <v>50</v>
      </c>
      <c r="I176">
        <v>110</v>
      </c>
      <c r="J176">
        <v>-46</v>
      </c>
      <c r="K176">
        <v>120</v>
      </c>
      <c r="L176">
        <v>71</v>
      </c>
      <c r="M176" t="s">
        <v>1205</v>
      </c>
      <c r="N176" t="s">
        <v>102</v>
      </c>
      <c r="O176" t="s">
        <v>177</v>
      </c>
      <c r="P176" t="s">
        <v>69</v>
      </c>
      <c r="R176" t="s">
        <v>121</v>
      </c>
      <c r="S176" t="s">
        <v>1206</v>
      </c>
      <c r="T176" t="s">
        <v>91</v>
      </c>
      <c r="U176">
        <v>308.62</v>
      </c>
      <c r="V176">
        <v>129</v>
      </c>
      <c r="W176">
        <v>2.39</v>
      </c>
      <c r="X176" s="14">
        <v>44749</v>
      </c>
      <c r="Y176" t="s">
        <v>92</v>
      </c>
      <c r="Z176">
        <v>30</v>
      </c>
      <c r="AA176">
        <v>0</v>
      </c>
      <c r="AB176">
        <v>0</v>
      </c>
      <c r="AC176">
        <v>0</v>
      </c>
      <c r="AD176">
        <v>98</v>
      </c>
      <c r="AE176">
        <v>0</v>
      </c>
      <c r="AF176">
        <v>1</v>
      </c>
      <c r="AG176">
        <v>0</v>
      </c>
      <c r="AH176">
        <v>50</v>
      </c>
      <c r="AI176">
        <v>0</v>
      </c>
      <c r="AJ176">
        <v>2</v>
      </c>
      <c r="AK176">
        <v>0</v>
      </c>
      <c r="AL176">
        <v>0</v>
      </c>
      <c r="AM176">
        <v>0</v>
      </c>
      <c r="AO176" t="s">
        <v>1207</v>
      </c>
      <c r="AP176">
        <v>0</v>
      </c>
      <c r="AQ176">
        <v>0</v>
      </c>
      <c r="AR176">
        <v>0</v>
      </c>
      <c r="AS176">
        <v>0</v>
      </c>
      <c r="AT176">
        <v>384</v>
      </c>
      <c r="AU176" t="s">
        <v>75</v>
      </c>
      <c r="AV176">
        <v>2.4</v>
      </c>
      <c r="AW176">
        <v>1.940375224465942</v>
      </c>
      <c r="AX176" t="b">
        <v>0</v>
      </c>
      <c r="AY176" t="s">
        <v>1208</v>
      </c>
      <c r="AZ176" t="s">
        <v>1209</v>
      </c>
      <c r="BA176">
        <v>0</v>
      </c>
      <c r="BB176">
        <v>0</v>
      </c>
      <c r="BC176" t="s">
        <v>1210</v>
      </c>
      <c r="BD176" t="s">
        <v>1211</v>
      </c>
      <c r="BE176" t="s">
        <v>1212</v>
      </c>
      <c r="BF176" t="s">
        <v>1213</v>
      </c>
    </row>
    <row r="177" spans="24:24" x14ac:dyDescent="0.25">
      <c r="X177" s="14"/>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L66"/>
  <sheetViews>
    <sheetView showGridLines="0" zoomScaleNormal="100" workbookViewId="0">
      <selection activeCell="B9" sqref="B9"/>
    </sheetView>
  </sheetViews>
  <sheetFormatPr defaultRowHeight="15" x14ac:dyDescent="0.25"/>
  <cols>
    <col min="1" max="1" width="13.5703125" customWidth="1"/>
    <col min="2" max="2" width="40" customWidth="1"/>
    <col min="3" max="3" width="19.5703125" customWidth="1"/>
    <col min="4" max="4" width="30" customWidth="1"/>
    <col min="5" max="5" width="10.5703125" customWidth="1"/>
    <col min="6" max="6" width="14.42578125" customWidth="1"/>
    <col min="7" max="7" width="8" customWidth="1"/>
    <col min="8" max="8" width="8.28515625" customWidth="1"/>
    <col min="9" max="9" width="9.85546875" customWidth="1"/>
    <col min="10" max="12" width="10.5703125" customWidth="1"/>
    <col min="13" max="13" width="11.42578125" customWidth="1"/>
    <col min="14" max="14" width="10.5703125" customWidth="1"/>
    <col min="16" max="17" width="11.140625" bestFit="1" customWidth="1"/>
  </cols>
  <sheetData>
    <row r="1" spans="1:38" x14ac:dyDescent="0.25">
      <c r="A1" s="16" t="s">
        <v>1214</v>
      </c>
      <c r="W1" s="21" t="str">
        <f>"P:\Mfotos\Padronizadas\"&amp;B7&amp;"(A).jpg"</f>
        <v>P:\Mfotos\Padronizadas\710987(A).jpg</v>
      </c>
    </row>
    <row r="2" spans="1:38" x14ac:dyDescent="0.25">
      <c r="A2" s="5">
        <f ca="1">TODAY()</f>
        <v>45603</v>
      </c>
      <c r="B2" s="7"/>
      <c r="E2" s="1"/>
      <c r="F2" s="1"/>
      <c r="G2" s="1"/>
      <c r="H2" s="1"/>
      <c r="I2" s="1" t="s">
        <v>1215</v>
      </c>
      <c r="J2" s="1"/>
      <c r="K2" s="1"/>
      <c r="L2" s="1"/>
      <c r="M2" s="1"/>
      <c r="N2" s="1"/>
    </row>
    <row r="4" spans="1:38" x14ac:dyDescent="0.25">
      <c r="A4" s="31"/>
      <c r="B4" s="32"/>
    </row>
    <row r="5" spans="1:38" x14ac:dyDescent="0.25">
      <c r="A5" s="2" t="s">
        <v>15</v>
      </c>
      <c r="B5" s="23" t="e">
        <f>VLOOKUP(B7,DADOS!A:R,16,0)</f>
        <v>#N/A</v>
      </c>
    </row>
    <row r="6" spans="1:38" x14ac:dyDescent="0.25">
      <c r="A6" s="2" t="s">
        <v>1216</v>
      </c>
      <c r="B6" s="23" t="e">
        <f>VLOOKUP(B7,DADOS!A:BD,47,0)</f>
        <v>#N/A</v>
      </c>
    </row>
    <row r="7" spans="1:38" x14ac:dyDescent="0.25">
      <c r="A7" s="2" t="s">
        <v>1217</v>
      </c>
      <c r="B7" s="30" t="s">
        <v>945</v>
      </c>
      <c r="G7" t="s">
        <v>1218</v>
      </c>
      <c r="H7" s="21">
        <v>70</v>
      </c>
    </row>
    <row r="8" spans="1:38" x14ac:dyDescent="0.25">
      <c r="A8" s="2" t="s">
        <v>3</v>
      </c>
      <c r="B8" t="e">
        <f>INDEX(DADOS!A:BJ, MATCH(ANALISE!$B$7, DADOS!A:A, 0), MATCH("Txt.brv.material",DADOS!$1:$1, 0))</f>
        <v>#N/A</v>
      </c>
      <c r="G8" t="s">
        <v>1220</v>
      </c>
      <c r="H8" s="21">
        <v>121</v>
      </c>
    </row>
    <row r="9" spans="1:38" x14ac:dyDescent="0.25">
      <c r="A9" s="2" t="s">
        <v>1219</v>
      </c>
      <c r="B9" s="23" t="e">
        <f>VLOOKUP($B$7,DADOS!A:BJ,62,0)</f>
        <v>#N/A</v>
      </c>
      <c r="G9" t="s">
        <v>1222</v>
      </c>
      <c r="H9" s="21"/>
    </row>
    <row r="10" spans="1:38" x14ac:dyDescent="0.25">
      <c r="A10" s="2" t="s">
        <v>1221</v>
      </c>
      <c r="B10" s="24">
        <f>(COUNTA(DADOS!BJ:BJ)-2)/(COUNTA(DADOS!A:A)-2)</f>
        <v>0.6132075471698113</v>
      </c>
      <c r="G10" t="s">
        <v>1254</v>
      </c>
      <c r="H10" s="21"/>
    </row>
    <row r="11" spans="1:38" x14ac:dyDescent="0.25">
      <c r="A11" s="31" t="s">
        <v>1223</v>
      </c>
      <c r="B11" s="32"/>
      <c r="C11" s="31" t="s">
        <v>1224</v>
      </c>
      <c r="D11" s="32"/>
      <c r="E11" s="1"/>
      <c r="F11" s="1"/>
      <c r="G11" s="1"/>
      <c r="H11" s="1"/>
      <c r="I11" s="1" t="s">
        <v>1225</v>
      </c>
      <c r="J11" s="1"/>
      <c r="K11" s="1"/>
      <c r="L11" s="1"/>
      <c r="M11" s="1"/>
      <c r="N11" s="1"/>
    </row>
    <row r="12" spans="1:38" x14ac:dyDescent="0.25">
      <c r="A12" s="33" t="e">
        <f>VLOOKUP(ANALISE!$B$7,DADOS!A:X,2,0)</f>
        <v>#N/A</v>
      </c>
      <c r="B12" s="32"/>
      <c r="C12" s="2" t="s">
        <v>2</v>
      </c>
      <c r="D12" s="3" t="e">
        <f>INDEX(DADOS!A:BJ, MATCH(ANALISE!$B$7, DADOS!A:A, 0), MATCH("Dias em OP",DADOS!$1:$1, 0))</f>
        <v>#N/A</v>
      </c>
    </row>
    <row r="13" spans="1:38" x14ac:dyDescent="0.25">
      <c r="A13" s="32"/>
      <c r="B13" s="32"/>
      <c r="C13" s="2" t="s">
        <v>1226</v>
      </c>
      <c r="D13" s="3" t="e">
        <f>VLOOKUP($B$7,DADOS!A:X,5,0)&amp;"="&amp;VLOOKUP($B$7,DADOS!A:X,6,0)&amp;"/"&amp;VLOOKUP($B$7,DADOS!A:X,7,0)</f>
        <v>#N/A</v>
      </c>
    </row>
    <row r="14" spans="1:38" x14ac:dyDescent="0.25">
      <c r="A14" s="32"/>
      <c r="B14" s="32"/>
      <c r="C14" s="2" t="s">
        <v>1227</v>
      </c>
      <c r="D14" s="3" t="e">
        <f>VLOOKUP($B$7,DADOS!A:X,11,0)/30</f>
        <v>#N/A</v>
      </c>
      <c r="W14" t="s">
        <v>1228</v>
      </c>
      <c r="X14">
        <f t="array" ref="X14:AL14">_xlfn._xlws.FILTER(DADOS!Z:AN,DADOS!A:A=B7,0)</f>
        <v>0</v>
      </c>
      <c r="Y14">
        <v>0</v>
      </c>
      <c r="Z14">
        <v>0</v>
      </c>
      <c r="AA14">
        <v>0</v>
      </c>
      <c r="AB14">
        <v>0</v>
      </c>
      <c r="AC14">
        <v>0</v>
      </c>
      <c r="AD14">
        <v>0</v>
      </c>
      <c r="AE14">
        <v>0</v>
      </c>
      <c r="AF14">
        <v>0</v>
      </c>
      <c r="AG14">
        <v>0</v>
      </c>
      <c r="AH14">
        <v>0</v>
      </c>
      <c r="AI14">
        <v>0</v>
      </c>
      <c r="AJ14">
        <v>0</v>
      </c>
      <c r="AK14">
        <v>0</v>
      </c>
      <c r="AL14">
        <v>0</v>
      </c>
    </row>
    <row r="15" spans="1:38" x14ac:dyDescent="0.25">
      <c r="A15" s="32"/>
      <c r="B15" s="32"/>
      <c r="C15" s="2" t="s">
        <v>1229</v>
      </c>
      <c r="D15" s="3" t="e">
        <f>VLOOKUP($B$7,DADOS!A:X,12,0)</f>
        <v>#N/A</v>
      </c>
      <c r="W15" t="s">
        <v>1220</v>
      </c>
      <c r="X15" t="e" vm="1">
        <f t="array" ref="X15">_xlfn._xlws.FILTER(DADOS!$G:$G,DADOS!$A:$A=ANALISE!$B$7)</f>
        <v>#VALUE!</v>
      </c>
      <c r="Y15" t="e" vm="1">
        <f t="array" ref="Y15">_xlfn._xlws.FILTER(DADOS!$G:$G,DADOS!$A:$A=ANALISE!$B$7)</f>
        <v>#VALUE!</v>
      </c>
      <c r="Z15" t="e" vm="1">
        <f t="array" ref="Z15">_xlfn._xlws.FILTER(DADOS!$G:$G,DADOS!$A:$A=ANALISE!$B$7)</f>
        <v>#VALUE!</v>
      </c>
      <c r="AA15" t="e" vm="1">
        <f t="array" ref="AA15">_xlfn._xlws.FILTER(DADOS!$G:$G,DADOS!$A:$A=ANALISE!$B$7)</f>
        <v>#VALUE!</v>
      </c>
      <c r="AB15" t="e" vm="1">
        <f t="array" ref="AB15">_xlfn._xlws.FILTER(DADOS!$G:$G,DADOS!$A:$A=ANALISE!$B$7)</f>
        <v>#VALUE!</v>
      </c>
      <c r="AC15" t="e" vm="1">
        <f t="array" ref="AC15">_xlfn._xlws.FILTER(DADOS!$G:$G,DADOS!$A:$A=ANALISE!$B$7)</f>
        <v>#VALUE!</v>
      </c>
      <c r="AD15" t="e" vm="1">
        <f t="array" ref="AD15">_xlfn._xlws.FILTER(DADOS!$G:$G,DADOS!$A:$A=ANALISE!$B$7)</f>
        <v>#VALUE!</v>
      </c>
      <c r="AE15" t="e" vm="1">
        <f t="array" ref="AE15">_xlfn._xlws.FILTER(DADOS!$G:$G,DADOS!$A:$A=ANALISE!$B$7)</f>
        <v>#VALUE!</v>
      </c>
      <c r="AF15" t="e" vm="1">
        <f t="array" ref="AF15">_xlfn._xlws.FILTER(DADOS!$G:$G,DADOS!$A:$A=ANALISE!$B$7)</f>
        <v>#VALUE!</v>
      </c>
      <c r="AG15" t="e" vm="1">
        <f t="array" ref="AG15">_xlfn._xlws.FILTER(DADOS!$G:$G,DADOS!$A:$A=ANALISE!$B$7)</f>
        <v>#VALUE!</v>
      </c>
      <c r="AH15" t="e" vm="1">
        <f t="array" ref="AH15">_xlfn._xlws.FILTER(DADOS!$G:$G,DADOS!$A:$A=ANALISE!$B$7)</f>
        <v>#VALUE!</v>
      </c>
      <c r="AI15" t="e" vm="1">
        <f t="array" ref="AI15">_xlfn._xlws.FILTER(DADOS!$G:$G,DADOS!$A:$A=ANALISE!$B$7)</f>
        <v>#VALUE!</v>
      </c>
      <c r="AJ15" t="e" vm="1">
        <f t="array" ref="AJ15">_xlfn._xlws.FILTER(DADOS!$G:$G,DADOS!$A:$A=ANALISE!$B$7)</f>
        <v>#VALUE!</v>
      </c>
      <c r="AK15" t="e" vm="1">
        <f t="array" ref="AK15">_xlfn._xlws.FILTER(DADOS!$G:$G,DADOS!$A:$A=ANALISE!$B$7)</f>
        <v>#VALUE!</v>
      </c>
      <c r="AL15" t="e" vm="1">
        <f t="array" ref="AL15">_xlfn._xlws.FILTER(DADOS!$G:$G,DADOS!$A:$A=ANALISE!$B$7)</f>
        <v>#VALUE!</v>
      </c>
    </row>
    <row r="16" spans="1:38" x14ac:dyDescent="0.25">
      <c r="A16" s="32"/>
      <c r="B16" s="32"/>
      <c r="C16" s="2" t="s">
        <v>1230</v>
      </c>
      <c r="D16" s="3" t="e">
        <f>VLOOKUP($B$7,DADOS!A:X,22,0)</f>
        <v>#N/A</v>
      </c>
      <c r="W16" t="s">
        <v>1218</v>
      </c>
      <c r="X16" t="e" vm="1">
        <f t="array" ref="X16">_xlfn._xlws.FILTER(DADOS!$F:$F,DADOS!$A:$A=ANALISE!$B$7)</f>
        <v>#VALUE!</v>
      </c>
      <c r="Y16" t="e" vm="1">
        <f t="array" ref="Y16">_xlfn._xlws.FILTER(DADOS!$F:$F,DADOS!$A:$A=ANALISE!$B$7)</f>
        <v>#VALUE!</v>
      </c>
      <c r="Z16" t="e" vm="1">
        <f t="array" ref="Z16">_xlfn._xlws.FILTER(DADOS!$F:$F,DADOS!$A:$A=ANALISE!$B$7)</f>
        <v>#VALUE!</v>
      </c>
      <c r="AA16" t="e" vm="1">
        <f t="array" ref="AA16">_xlfn._xlws.FILTER(DADOS!$F:$F,DADOS!$A:$A=ANALISE!$B$7)</f>
        <v>#VALUE!</v>
      </c>
      <c r="AB16" t="e" vm="1">
        <f t="array" ref="AB16">_xlfn._xlws.FILTER(DADOS!$F:$F,DADOS!$A:$A=ANALISE!$B$7)</f>
        <v>#VALUE!</v>
      </c>
      <c r="AC16" t="e" vm="1">
        <f t="array" ref="AC16">_xlfn._xlws.FILTER(DADOS!$F:$F,DADOS!$A:$A=ANALISE!$B$7)</f>
        <v>#VALUE!</v>
      </c>
      <c r="AD16" t="e" vm="1">
        <f t="array" ref="AD16">_xlfn._xlws.FILTER(DADOS!$F:$F,DADOS!$A:$A=ANALISE!$B$7)</f>
        <v>#VALUE!</v>
      </c>
      <c r="AE16" t="e" vm="1">
        <f t="array" ref="AE16">_xlfn._xlws.FILTER(DADOS!$F:$F,DADOS!$A:$A=ANALISE!$B$7)</f>
        <v>#VALUE!</v>
      </c>
      <c r="AF16" t="e" vm="1">
        <f t="array" ref="AF16">_xlfn._xlws.FILTER(DADOS!$F:$F,DADOS!$A:$A=ANALISE!$B$7)</f>
        <v>#VALUE!</v>
      </c>
      <c r="AG16" t="e" vm="1">
        <f t="array" ref="AG16">_xlfn._xlws.FILTER(DADOS!$F:$F,DADOS!$A:$A=ANALISE!$B$7)</f>
        <v>#VALUE!</v>
      </c>
      <c r="AH16" t="e" vm="1">
        <f t="array" ref="AH16">_xlfn._xlws.FILTER(DADOS!$F:$F,DADOS!$A:$A=ANALISE!$B$7)</f>
        <v>#VALUE!</v>
      </c>
      <c r="AI16" t="e" vm="1">
        <f t="array" ref="AI16">_xlfn._xlws.FILTER(DADOS!$F:$F,DADOS!$A:$A=ANALISE!$B$7)</f>
        <v>#VALUE!</v>
      </c>
      <c r="AJ16" t="e" vm="1">
        <f t="array" ref="AJ16">_xlfn._xlws.FILTER(DADOS!$F:$F,DADOS!$A:$A=ANALISE!$B$7)</f>
        <v>#VALUE!</v>
      </c>
      <c r="AK16" t="e" vm="1">
        <f t="array" ref="AK16">_xlfn._xlws.FILTER(DADOS!$F:$F,DADOS!$A:$A=ANALISE!$B$7)</f>
        <v>#VALUE!</v>
      </c>
      <c r="AL16" t="e" vm="1">
        <f t="array" ref="AL16">_xlfn._xlws.FILTER(DADOS!$F:$F,DADOS!$A:$A=ANALISE!$B$7)</f>
        <v>#VALUE!</v>
      </c>
    </row>
    <row r="17" spans="1:38" x14ac:dyDescent="0.25">
      <c r="A17" s="32"/>
      <c r="B17" s="32"/>
      <c r="C17" s="2" t="s">
        <v>1231</v>
      </c>
      <c r="D17" s="18" t="e">
        <f>VLOOKUP($B$7,DADOS!A:X,21,0)</f>
        <v>#N/A</v>
      </c>
      <c r="W17" t="s">
        <v>7</v>
      </c>
      <c r="X17" t="e" vm="1">
        <f t="array" ref="X17">_xlfn._xlws.FILTER(DADOS!$H:$H,DADOS!$A:$A=ANALISE!$B$7)</f>
        <v>#VALUE!</v>
      </c>
      <c r="Y17" t="e" vm="1">
        <f t="array" ref="Y17">_xlfn._xlws.FILTER(DADOS!$H:$H,DADOS!$A:$A=ANALISE!$B$7)</f>
        <v>#VALUE!</v>
      </c>
      <c r="Z17" t="e" vm="1">
        <f t="array" ref="Z17">_xlfn._xlws.FILTER(DADOS!$H:$H,DADOS!$A:$A=ANALISE!$B$7)</f>
        <v>#VALUE!</v>
      </c>
      <c r="AA17" t="e" vm="1">
        <f t="array" ref="AA17">_xlfn._xlws.FILTER(DADOS!$H:$H,DADOS!$A:$A=ANALISE!$B$7)</f>
        <v>#VALUE!</v>
      </c>
      <c r="AB17" t="e" vm="1">
        <f t="array" ref="AB17">_xlfn._xlws.FILTER(DADOS!$H:$H,DADOS!$A:$A=ANALISE!$B$7)</f>
        <v>#VALUE!</v>
      </c>
      <c r="AC17" t="e" vm="1">
        <f t="array" ref="AC17">_xlfn._xlws.FILTER(DADOS!$H:$H,DADOS!$A:$A=ANALISE!$B$7)</f>
        <v>#VALUE!</v>
      </c>
      <c r="AD17" t="e" vm="1">
        <f t="array" ref="AD17">_xlfn._xlws.FILTER(DADOS!$H:$H,DADOS!$A:$A=ANALISE!$B$7)</f>
        <v>#VALUE!</v>
      </c>
      <c r="AE17" t="e" vm="1">
        <f t="array" ref="AE17">_xlfn._xlws.FILTER(DADOS!$H:$H,DADOS!$A:$A=ANALISE!$B$7)</f>
        <v>#VALUE!</v>
      </c>
      <c r="AF17" t="e" vm="1">
        <f t="array" ref="AF17">_xlfn._xlws.FILTER(DADOS!$H:$H,DADOS!$A:$A=ANALISE!$B$7)</f>
        <v>#VALUE!</v>
      </c>
      <c r="AG17" t="e" vm="1">
        <f t="array" ref="AG17">_xlfn._xlws.FILTER(DADOS!$H:$H,DADOS!$A:$A=ANALISE!$B$7)</f>
        <v>#VALUE!</v>
      </c>
      <c r="AH17" t="e" vm="1">
        <f t="array" ref="AH17">_xlfn._xlws.FILTER(DADOS!$H:$H,DADOS!$A:$A=ANALISE!$B$7)</f>
        <v>#VALUE!</v>
      </c>
      <c r="AI17" t="e" vm="1">
        <f t="array" ref="AI17">_xlfn._xlws.FILTER(DADOS!$H:$H,DADOS!$A:$A=ANALISE!$B$7)</f>
        <v>#VALUE!</v>
      </c>
      <c r="AJ17" t="e" vm="1">
        <f t="array" ref="AJ17">_xlfn._xlws.FILTER(DADOS!$H:$H,DADOS!$A:$A=ANALISE!$B$7)</f>
        <v>#VALUE!</v>
      </c>
      <c r="AK17" t="e" vm="1">
        <f t="array" ref="AK17">_xlfn._xlws.FILTER(DADOS!$H:$H,DADOS!$A:$A=ANALISE!$B$7)</f>
        <v>#VALUE!</v>
      </c>
      <c r="AL17" t="e" vm="1">
        <f t="array" ref="AL17">_xlfn._xlws.FILTER(DADOS!$H:$H,DADOS!$A:$A=ANALISE!$B$7)</f>
        <v>#VALUE!</v>
      </c>
    </row>
    <row r="18" spans="1:38" x14ac:dyDescent="0.25">
      <c r="A18" s="32"/>
      <c r="B18" s="32"/>
      <c r="C18" s="2" t="s">
        <v>16</v>
      </c>
      <c r="D18" s="3" t="e">
        <f>VLOOKUP($B$7,DADOS!A:X,17,0)</f>
        <v>#N/A</v>
      </c>
      <c r="W18" t="s">
        <v>8</v>
      </c>
      <c r="X18" t="e" vm="1">
        <f t="array" ref="X18">_xlfn._xlws.FILTER(DADOS!$I:$I,DADOS!$A:$A=ANALISE!$B$7)</f>
        <v>#VALUE!</v>
      </c>
      <c r="Y18" t="e" vm="1">
        <f t="array" ref="Y18">_xlfn._xlws.FILTER(DADOS!$I:$I,DADOS!$A:$A=ANALISE!$B$7)</f>
        <v>#VALUE!</v>
      </c>
      <c r="Z18" t="e" vm="1">
        <f t="array" ref="Z18">_xlfn._xlws.FILTER(DADOS!$I:$I,DADOS!$A:$A=ANALISE!$B$7)</f>
        <v>#VALUE!</v>
      </c>
      <c r="AA18" t="e" vm="1">
        <f t="array" ref="AA18">_xlfn._xlws.FILTER(DADOS!$I:$I,DADOS!$A:$A=ANALISE!$B$7)</f>
        <v>#VALUE!</v>
      </c>
      <c r="AB18" t="e" vm="1">
        <f t="array" ref="AB18">_xlfn._xlws.FILTER(DADOS!$I:$I,DADOS!$A:$A=ANALISE!$B$7)</f>
        <v>#VALUE!</v>
      </c>
      <c r="AC18" t="e" vm="1">
        <f t="array" ref="AC18">_xlfn._xlws.FILTER(DADOS!$I:$I,DADOS!$A:$A=ANALISE!$B$7)</f>
        <v>#VALUE!</v>
      </c>
      <c r="AD18" t="e" vm="1">
        <f t="array" ref="AD18">_xlfn._xlws.FILTER(DADOS!$I:$I,DADOS!$A:$A=ANALISE!$B$7)</f>
        <v>#VALUE!</v>
      </c>
      <c r="AE18" t="e" vm="1">
        <f t="array" ref="AE18">_xlfn._xlws.FILTER(DADOS!$I:$I,DADOS!$A:$A=ANALISE!$B$7)</f>
        <v>#VALUE!</v>
      </c>
      <c r="AF18" t="e" vm="1">
        <f t="array" ref="AF18">_xlfn._xlws.FILTER(DADOS!$I:$I,DADOS!$A:$A=ANALISE!$B$7)</f>
        <v>#VALUE!</v>
      </c>
      <c r="AG18" t="e" vm="1">
        <f t="array" ref="AG18">_xlfn._xlws.FILTER(DADOS!$I:$I,DADOS!$A:$A=ANALISE!$B$7)</f>
        <v>#VALUE!</v>
      </c>
      <c r="AH18" t="e" vm="1">
        <f t="array" ref="AH18">_xlfn._xlws.FILTER(DADOS!$I:$I,DADOS!$A:$A=ANALISE!$B$7)</f>
        <v>#VALUE!</v>
      </c>
      <c r="AI18" t="e" vm="1">
        <f t="array" ref="AI18">_xlfn._xlws.FILTER(DADOS!$I:$I,DADOS!$A:$A=ANALISE!$B$7)</f>
        <v>#VALUE!</v>
      </c>
      <c r="AJ18" t="e" vm="1">
        <f t="array" ref="AJ18">_xlfn._xlws.FILTER(DADOS!$I:$I,DADOS!$A:$A=ANALISE!$B$7)</f>
        <v>#VALUE!</v>
      </c>
      <c r="AK18" t="e" vm="1">
        <f t="array" ref="AK18">_xlfn._xlws.FILTER(DADOS!$I:$I,DADOS!$A:$A=ANALISE!$B$7)</f>
        <v>#VALUE!</v>
      </c>
      <c r="AL18" t="e" vm="1">
        <f t="array" ref="AL18">_xlfn._xlws.FILTER(DADOS!$I:$I,DADOS!$A:$A=ANALISE!$B$7)</f>
        <v>#VALUE!</v>
      </c>
    </row>
    <row r="19" spans="1:38" x14ac:dyDescent="0.25">
      <c r="A19" s="32"/>
      <c r="B19" s="32"/>
      <c r="C19" s="2" t="s">
        <v>1232</v>
      </c>
      <c r="D19" s="3" t="e">
        <f>VLOOKUP($B$7,DADOS!A:X,23,0)</f>
        <v>#N/A</v>
      </c>
    </row>
    <row r="20" spans="1:38" x14ac:dyDescent="0.25">
      <c r="A20" s="32"/>
      <c r="B20" s="32"/>
      <c r="C20" s="2" t="s">
        <v>1233</v>
      </c>
      <c r="D20" s="3" t="e">
        <f>VLOOKUP($B$7,DADOS!A:BA,46,0)</f>
        <v>#N/A</v>
      </c>
    </row>
    <row r="21" spans="1:38" x14ac:dyDescent="0.25">
      <c r="A21" s="32"/>
      <c r="B21" s="32"/>
      <c r="C21" s="2" t="s">
        <v>1234</v>
      </c>
      <c r="D21" s="3" t="e">
        <f>VLOOKUP($B$7,DADOS!A:BA,50,0)</f>
        <v>#N/A</v>
      </c>
    </row>
    <row r="22" spans="1:38" x14ac:dyDescent="0.25">
      <c r="A22" s="32"/>
      <c r="B22" s="32"/>
      <c r="C22" s="2" t="s">
        <v>1235</v>
      </c>
      <c r="D22" s="3" t="e">
        <f>VLOOKUP($B$7,DADOS!A:BI,54,0)</f>
        <v>#N/A</v>
      </c>
    </row>
    <row r="23" spans="1:38" x14ac:dyDescent="0.25">
      <c r="A23" s="32"/>
      <c r="B23" s="32"/>
      <c r="C23" s="2" t="s">
        <v>1236</v>
      </c>
      <c r="D23" s="3" t="e">
        <f>VLOOKUP($B$7,DADOS!A:BI,53,0)</f>
        <v>#N/A</v>
      </c>
    </row>
    <row r="24" spans="1:38" x14ac:dyDescent="0.25">
      <c r="A24" s="32"/>
      <c r="B24" s="32"/>
      <c r="C24" s="2" t="s">
        <v>1237</v>
      </c>
      <c r="D24" s="3" t="e">
        <f>VLOOKUP($B$7,DADOS!A:BI,25,0)</f>
        <v>#N/A</v>
      </c>
    </row>
    <row r="25" spans="1:38" x14ac:dyDescent="0.25">
      <c r="A25" s="32"/>
      <c r="B25" s="32"/>
      <c r="C25" s="2" t="s">
        <v>1238</v>
      </c>
      <c r="D25" s="3" t="e">
        <f>VLOOKUP($B$7,DADOS!A:BI,20,0)</f>
        <v>#N/A</v>
      </c>
    </row>
    <row r="26" spans="1:38" x14ac:dyDescent="0.25">
      <c r="C26" s="31" t="s">
        <v>1239</v>
      </c>
      <c r="D26" s="32"/>
    </row>
    <row r="27" spans="1:38" x14ac:dyDescent="0.25">
      <c r="C27" s="2" t="s">
        <v>1240</v>
      </c>
      <c r="D27" t="e">
        <f>VLOOKUP($B$7,DADOS!$A:$AS,42,0)</f>
        <v>#N/A</v>
      </c>
    </row>
    <row r="28" spans="1:38" x14ac:dyDescent="0.25">
      <c r="C28" s="2" t="s">
        <v>1241</v>
      </c>
      <c r="D28" t="s">
        <v>123</v>
      </c>
    </row>
    <row r="29" spans="1:38" x14ac:dyDescent="0.25">
      <c r="C29" s="2" t="s">
        <v>1242</v>
      </c>
      <c r="D29" t="e">
        <f>VLOOKUP($B$7,DADOS!A:AS,43,0)</f>
        <v>#N/A</v>
      </c>
    </row>
    <row r="30" spans="1:38" x14ac:dyDescent="0.25">
      <c r="C30" s="2" t="s">
        <v>1243</v>
      </c>
      <c r="D30" t="e">
        <f>VLOOKUP($B$7,DADOS!A:AS,44,0)</f>
        <v>#N/A</v>
      </c>
    </row>
    <row r="31" spans="1:38" x14ac:dyDescent="0.25">
      <c r="C31" s="34" t="s">
        <v>1244</v>
      </c>
      <c r="D31" s="32"/>
      <c r="E31" s="1" t="s">
        <v>1245</v>
      </c>
      <c r="F31" s="1"/>
      <c r="G31" s="1"/>
      <c r="J31" s="1" t="s">
        <v>1246</v>
      </c>
      <c r="K31" s="1"/>
      <c r="L31" s="1"/>
      <c r="M31" s="1"/>
    </row>
    <row r="32" spans="1:38" x14ac:dyDescent="0.25">
      <c r="C32" s="2" t="s">
        <v>1247</v>
      </c>
      <c r="D32" s="3" t="e">
        <f>VLOOKUP($B$7,DADOS!A:AS,45,0)</f>
        <v>#N/A</v>
      </c>
      <c r="E32" s="2" t="s">
        <v>50</v>
      </c>
      <c r="F32" s="2"/>
      <c r="G32" s="2"/>
      <c r="J32" s="2" t="s">
        <v>1248</v>
      </c>
      <c r="K32" s="2" t="s">
        <v>1249</v>
      </c>
      <c r="L32" s="2"/>
      <c r="M32" s="2"/>
    </row>
    <row r="33" spans="3:14" x14ac:dyDescent="0.25">
      <c r="C33" s="2" t="s">
        <v>1250</v>
      </c>
      <c r="D33" t="e">
        <f>VLOOKUP($B$7,DADOS!A:BI,19,0)</f>
        <v>#N/A</v>
      </c>
      <c r="E33" t="e">
        <f>VLOOKUP($B$7,DADOS!A:BI,52,0)</f>
        <v>#N/A</v>
      </c>
      <c r="J33" t="e">
        <f t="array" ref="J33:K37">_xlfn.TEXTSPLIT(VLOOKUP($B$7,DADOS!$A:$AS,41,0)," ","
")</f>
        <v>#N/A</v>
      </c>
      <c r="K33" s="7" t="e">
        <v>#N/A</v>
      </c>
    </row>
    <row r="34" spans="3:14" x14ac:dyDescent="0.25">
      <c r="C34" s="2" t="s">
        <v>1251</v>
      </c>
      <c r="D34" s="15" t="e">
        <f>IF(VLOOKUP($B$7,DADOS!A:BI,24,0)&lt;&gt;0,VLOOKUP($B$7,DADOS!A:BI,24,0),"Nunca foi comprado")</f>
        <v>#N/A</v>
      </c>
      <c r="E34" s="22" t="e">
        <f>VLOOKUP($B$7,DADOS!A:BI,51,0)</f>
        <v>#N/A</v>
      </c>
      <c r="J34" t="e">
        <v>#N/A</v>
      </c>
      <c r="K34" s="7" t="e">
        <v>#N/A</v>
      </c>
    </row>
    <row r="35" spans="3:14" x14ac:dyDescent="0.25">
      <c r="C35" s="2" t="s">
        <v>17</v>
      </c>
      <c r="D35" t="e">
        <f>VLOOKUP($B$7,DADOS!A:X,18,0)</f>
        <v>#N/A</v>
      </c>
      <c r="J35" t="e">
        <v>#N/A</v>
      </c>
      <c r="K35" s="7" t="e">
        <v>#N/A</v>
      </c>
      <c r="N35" s="10"/>
    </row>
    <row r="36" spans="3:14" x14ac:dyDescent="0.25">
      <c r="C36" s="34"/>
      <c r="D36" s="32"/>
      <c r="J36" t="e">
        <v>#N/A</v>
      </c>
      <c r="K36" s="7" t="e">
        <v>#N/A</v>
      </c>
    </row>
    <row r="37" spans="3:14" x14ac:dyDescent="0.25">
      <c r="J37" t="e">
        <v>#N/A</v>
      </c>
      <c r="K37" s="7" t="e">
        <v>#N/A</v>
      </c>
    </row>
    <row r="38" spans="3:14" x14ac:dyDescent="0.25">
      <c r="K38" s="7"/>
    </row>
    <row r="39" spans="3:14" x14ac:dyDescent="0.25">
      <c r="K39" s="7"/>
    </row>
    <row r="40" spans="3:14" x14ac:dyDescent="0.25">
      <c r="K40" s="7"/>
    </row>
    <row r="41" spans="3:14" x14ac:dyDescent="0.25">
      <c r="K41" s="7"/>
    </row>
    <row r="42" spans="3:14" x14ac:dyDescent="0.25">
      <c r="K42" s="7"/>
    </row>
    <row r="43" spans="3:14" x14ac:dyDescent="0.25">
      <c r="K43" s="7"/>
    </row>
    <row r="44" spans="3:14" x14ac:dyDescent="0.25">
      <c r="K44" s="7"/>
    </row>
    <row r="45" spans="3:14" x14ac:dyDescent="0.25">
      <c r="K45" s="7"/>
    </row>
    <row r="46" spans="3:14" x14ac:dyDescent="0.25">
      <c r="K46" s="7"/>
    </row>
    <row r="47" spans="3:14" x14ac:dyDescent="0.25">
      <c r="K47" s="7"/>
    </row>
    <row r="48" spans="3:14" x14ac:dyDescent="0.25">
      <c r="K48" s="7"/>
    </row>
    <row r="49" spans="11:11" x14ac:dyDescent="0.25">
      <c r="K49" s="7"/>
    </row>
    <row r="50" spans="11:11" x14ac:dyDescent="0.25">
      <c r="K50" s="7"/>
    </row>
    <row r="51" spans="11:11" x14ac:dyDescent="0.25">
      <c r="K51" s="7"/>
    </row>
    <row r="52" spans="11:11" x14ac:dyDescent="0.25">
      <c r="K52" s="7"/>
    </row>
    <row r="53" spans="11:11" x14ac:dyDescent="0.25">
      <c r="K53" s="7"/>
    </row>
    <row r="54" spans="11:11" x14ac:dyDescent="0.25">
      <c r="K54" s="7"/>
    </row>
    <row r="55" spans="11:11" x14ac:dyDescent="0.25">
      <c r="K55" s="7"/>
    </row>
    <row r="56" spans="11:11" x14ac:dyDescent="0.25">
      <c r="K56" s="7"/>
    </row>
    <row r="57" spans="11:11" x14ac:dyDescent="0.25">
      <c r="K57" s="7"/>
    </row>
    <row r="58" spans="11:11" x14ac:dyDescent="0.25">
      <c r="K58" s="7"/>
    </row>
    <row r="59" spans="11:11" x14ac:dyDescent="0.25">
      <c r="K59" s="7"/>
    </row>
    <row r="60" spans="11:11" x14ac:dyDescent="0.25">
      <c r="K60" s="7"/>
    </row>
    <row r="61" spans="11:11" x14ac:dyDescent="0.25">
      <c r="K61" s="7"/>
    </row>
    <row r="62" spans="11:11" x14ac:dyDescent="0.25">
      <c r="K62" s="7"/>
    </row>
    <row r="63" spans="11:11" x14ac:dyDescent="0.25">
      <c r="K63" s="7"/>
    </row>
    <row r="64" spans="11:11" x14ac:dyDescent="0.25">
      <c r="K64" s="7"/>
    </row>
    <row r="65" spans="11:11" x14ac:dyDescent="0.25">
      <c r="K65" s="7"/>
    </row>
    <row r="66" spans="11:11" x14ac:dyDescent="0.25">
      <c r="K66" s="7"/>
    </row>
  </sheetData>
  <mergeCells count="7">
    <mergeCell ref="A4:B4"/>
    <mergeCell ref="A12:B25"/>
    <mergeCell ref="C11:D11"/>
    <mergeCell ref="A11:B11"/>
    <mergeCell ref="C36:D36"/>
    <mergeCell ref="C31:D31"/>
    <mergeCell ref="C26:D2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naoRepor">
                <anchor moveWithCells="1" sizeWithCells="1">
                  <from>
                    <xdr:col>5</xdr:col>
                    <xdr:colOff>114300</xdr:colOff>
                    <xdr:row>3</xdr:row>
                    <xdr:rowOff>114300</xdr:rowOff>
                  </from>
                  <to>
                    <xdr:col>5</xdr:col>
                    <xdr:colOff>876300</xdr:colOff>
                    <xdr:row>5</xdr:row>
                    <xdr:rowOff>152400</xdr:rowOff>
                  </to>
                </anchor>
              </controlPr>
            </control>
          </mc:Choice>
        </mc:AlternateContent>
        <mc:AlternateContent xmlns:mc="http://schemas.openxmlformats.org/markup-compatibility/2006">
          <mc:Choice Requires="x14">
            <control shapeId="1029" r:id="rId5" name="Button 5">
              <controlPr defaultSize="0" print="0" autoFill="0" autoPict="0" macro="[0]!alterarNivel">
                <anchor moveWithCells="1">
                  <from>
                    <xdr:col>6</xdr:col>
                    <xdr:colOff>19050</xdr:colOff>
                    <xdr:row>3</xdr:row>
                    <xdr:rowOff>85725</xdr:rowOff>
                  </from>
                  <to>
                    <xdr:col>7</xdr:col>
                    <xdr:colOff>371475</xdr:colOff>
                    <xdr:row>5</xdr:row>
                    <xdr:rowOff>161925</xdr:rowOff>
                  </to>
                </anchor>
              </controlPr>
            </control>
          </mc:Choice>
        </mc:AlternateContent>
        <mc:AlternateContent xmlns:mc="http://schemas.openxmlformats.org/markup-compatibility/2006">
          <mc:Choice Requires="x14">
            <control shapeId="1030" r:id="rId6" name="Button 6">
              <controlPr defaultSize="0" print="0" autoFill="0" autoPict="0" macro="[0]!CarregarImagem">
                <anchor moveWithCells="1">
                  <from>
                    <xdr:col>9</xdr:col>
                    <xdr:colOff>447675</xdr:colOff>
                    <xdr:row>3</xdr:row>
                    <xdr:rowOff>104775</xdr:rowOff>
                  </from>
                  <to>
                    <xdr:col>10</xdr:col>
                    <xdr:colOff>552450</xdr:colOff>
                    <xdr:row>5</xdr:row>
                    <xdr:rowOff>171450</xdr:rowOff>
                  </to>
                </anchor>
              </controlPr>
            </control>
          </mc:Choice>
        </mc:AlternateContent>
        <mc:AlternateContent xmlns:mc="http://schemas.openxmlformats.org/markup-compatibility/2006">
          <mc:Choice Requires="x14">
            <control shapeId="1031" r:id="rId7" name="Button 7">
              <controlPr defaultSize="0" print="0" autoFill="0" autoPict="0" macro="[0]!AlterarCelulaParaProximoCodigo">
                <anchor moveWithCells="1">
                  <from>
                    <xdr:col>8</xdr:col>
                    <xdr:colOff>133350</xdr:colOff>
                    <xdr:row>3</xdr:row>
                    <xdr:rowOff>95250</xdr:rowOff>
                  </from>
                  <to>
                    <xdr:col>9</xdr:col>
                    <xdr:colOff>285750</xdr:colOff>
                    <xdr:row>5</xdr:row>
                    <xdr:rowOff>161925</xdr:rowOff>
                  </to>
                </anchor>
              </controlPr>
            </control>
          </mc:Choice>
        </mc:AlternateContent>
        <mc:AlternateContent xmlns:mc="http://schemas.openxmlformats.org/markup-compatibility/2006">
          <mc:Choice Requires="x14">
            <control shapeId="1032" r:id="rId8" name="Button 8">
              <controlPr defaultSize="0" print="0" autoFill="0" autoPict="0" macro="[0]!Repor">
                <anchor moveWithCells="1" sizeWithCells="1">
                  <from>
                    <xdr:col>4</xdr:col>
                    <xdr:colOff>47625</xdr:colOff>
                    <xdr:row>3</xdr:row>
                    <xdr:rowOff>114300</xdr:rowOff>
                  </from>
                  <to>
                    <xdr:col>5</xdr:col>
                    <xdr:colOff>28575</xdr:colOff>
                    <xdr:row>5</xdr:row>
                    <xdr:rowOff>152400</xdr:rowOff>
                  </to>
                </anchor>
              </controlPr>
            </control>
          </mc:Choice>
        </mc:AlternateContent>
        <mc:AlternateContent xmlns:mc="http://schemas.openxmlformats.org/markup-compatibility/2006">
          <mc:Choice Requires="x14">
            <control shapeId="1034" r:id="rId9" name="Button 10">
              <controlPr defaultSize="0" print="0" autoFill="0" autoPict="0" macro="[0]!refreshOP">
                <anchor moveWithCells="1">
                  <from>
                    <xdr:col>11</xdr:col>
                    <xdr:colOff>38100</xdr:colOff>
                    <xdr:row>3</xdr:row>
                    <xdr:rowOff>95250</xdr:rowOff>
                  </from>
                  <to>
                    <xdr:col>12</xdr:col>
                    <xdr:colOff>219075</xdr:colOff>
                    <xdr:row>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S31"/>
  <sheetViews>
    <sheetView zoomScale="85" zoomScaleNormal="85" workbookViewId="0">
      <selection activeCell="H2" sqref="H2"/>
    </sheetView>
  </sheetViews>
  <sheetFormatPr defaultRowHeight="15" x14ac:dyDescent="0.25"/>
  <cols>
    <col min="1" max="7" width="36" customWidth="1"/>
    <col min="8" max="8" width="29.7109375" customWidth="1"/>
  </cols>
  <sheetData>
    <row r="1" spans="1:19" x14ac:dyDescent="0.25">
      <c r="A1" s="17" t="s">
        <v>54</v>
      </c>
      <c r="B1" s="17" t="s">
        <v>55</v>
      </c>
      <c r="C1" s="17" t="s">
        <v>56</v>
      </c>
      <c r="D1" s="17" t="s">
        <v>57</v>
      </c>
      <c r="E1" s="17" t="s">
        <v>58</v>
      </c>
      <c r="F1" s="17" t="s">
        <v>59</v>
      </c>
      <c r="G1" s="17" t="s">
        <v>60</v>
      </c>
      <c r="H1" s="17" t="s">
        <v>1255</v>
      </c>
      <c r="I1" s="8"/>
      <c r="J1" s="8"/>
      <c r="K1" s="8"/>
      <c r="L1" s="8"/>
      <c r="M1" s="8"/>
      <c r="N1" s="4"/>
      <c r="O1" s="8"/>
      <c r="P1" s="8"/>
      <c r="Q1" s="8"/>
      <c r="R1" s="8"/>
    </row>
    <row r="2" spans="1:19" ht="34.5" customHeight="1" x14ac:dyDescent="0.25">
      <c r="A2" s="11" t="e">
        <f t="array" ref="A2:A18">_xlfn.TEXTSPLIT(VLOOKUP(ANALISE!$B$7,DADOS!$A:$BI,55,0),,"
")</f>
        <v>#N/A</v>
      </c>
      <c r="B2" s="11" t="e">
        <f t="array" ref="B2:B18">_xlfn.TEXTSPLIT(VLOOKUP(ANALISE!$B$7,DADOS!$A:$BI,56,0),,"
")</f>
        <v>#N/A</v>
      </c>
      <c r="C2" s="11" t="e">
        <f t="array" ref="C2:C12">_xlfn.TEXTSPLIT(VLOOKUP(ANALISE!$B$7,DADOS!$A:$BI,57,0),,"
")</f>
        <v>#N/A</v>
      </c>
      <c r="D2" s="11" t="e">
        <f t="array" ref="D2:D12">_xlfn.TEXTSPLIT(VLOOKUP(ANALISE!$B$7,DADOS!$A:$BI,58,0),,"
")</f>
        <v>#N/A</v>
      </c>
      <c r="E2" s="19" t="e">
        <f t="array" ref="E2">_xlfn.TEXTSPLIT(VLOOKUP(ANALISE!$B$7,DADOS!$A:$BI,59,0),,"
")</f>
        <v>#N/A</v>
      </c>
      <c r="F2" s="19" t="e">
        <f t="array" ref="F2">_xlfn.TEXTSPLIT(VLOOKUP(ANALISE!$B$7,DADOS!$A:$BI,60,0),,"
")</f>
        <v>#N/A</v>
      </c>
      <c r="G2" s="11" t="e">
        <f t="array" ref="G2">_xlfn.TEXTSPLIT(VLOOKUP(ANALISE!$B$7,DADOS!$A:$BI,61,0),,"
")</f>
        <v>#N/A</v>
      </c>
      <c r="H2" s="11" t="e" cm="1">
        <f t="array" ref="H2">_xlfn.TEXTSPLIT(VLOOKUP(ANALISE!$B$7,DADOS!$A:$BI,62,0),,"
")</f>
        <v>#N/A</v>
      </c>
      <c r="I2" s="8"/>
      <c r="J2" s="8"/>
      <c r="K2" s="8"/>
      <c r="L2" s="8"/>
      <c r="M2" s="8"/>
      <c r="N2" s="4"/>
      <c r="O2" s="8"/>
      <c r="P2" s="8"/>
      <c r="Q2" s="8"/>
      <c r="R2" s="8"/>
    </row>
    <row r="3" spans="1:19" ht="34.5" customHeight="1" x14ac:dyDescent="0.25">
      <c r="A3" s="11" t="e">
        <v>#N/A</v>
      </c>
      <c r="B3" s="11" t="e">
        <v>#N/A</v>
      </c>
      <c r="C3" s="11" t="e">
        <v>#N/A</v>
      </c>
      <c r="D3" s="11" t="e">
        <v>#N/A</v>
      </c>
      <c r="E3" s="19"/>
      <c r="F3" s="19"/>
      <c r="G3" s="11"/>
      <c r="H3" s="11"/>
      <c r="I3" s="8"/>
      <c r="J3" s="8"/>
      <c r="K3" s="8"/>
      <c r="L3" s="8"/>
      <c r="M3" s="8"/>
      <c r="N3" s="4"/>
      <c r="O3" s="8"/>
      <c r="P3" s="8"/>
      <c r="Q3" s="8"/>
      <c r="R3" s="8"/>
    </row>
    <row r="4" spans="1:19" ht="34.5" customHeight="1" x14ac:dyDescent="0.25">
      <c r="A4" s="11" t="e">
        <v>#N/A</v>
      </c>
      <c r="B4" s="11" t="e">
        <v>#N/A</v>
      </c>
      <c r="C4" s="11" t="e">
        <v>#N/A</v>
      </c>
      <c r="D4" s="11" t="e">
        <v>#N/A</v>
      </c>
      <c r="E4" s="19"/>
      <c r="F4" s="19"/>
      <c r="G4" s="11"/>
      <c r="H4" s="11"/>
      <c r="I4" s="8"/>
      <c r="J4" s="8"/>
      <c r="K4" s="8"/>
      <c r="L4" s="8"/>
      <c r="M4" s="8"/>
      <c r="N4" s="4"/>
      <c r="O4" s="8"/>
      <c r="P4" s="8"/>
      <c r="Q4" s="8"/>
      <c r="R4" s="8"/>
    </row>
    <row r="5" spans="1:19" ht="34.5" customHeight="1" x14ac:dyDescent="0.25">
      <c r="A5" s="11" t="e">
        <v>#N/A</v>
      </c>
      <c r="B5" s="11" t="e">
        <v>#N/A</v>
      </c>
      <c r="C5" s="11" t="e">
        <v>#N/A</v>
      </c>
      <c r="D5" s="11" t="e">
        <v>#N/A</v>
      </c>
      <c r="E5" s="19"/>
      <c r="F5" s="19"/>
      <c r="G5" s="11"/>
      <c r="H5" s="11"/>
      <c r="I5" s="8"/>
      <c r="J5" s="8"/>
      <c r="K5" s="8"/>
      <c r="L5" s="8"/>
      <c r="M5" s="8"/>
      <c r="N5" s="4"/>
      <c r="O5" s="8"/>
      <c r="P5" s="8"/>
      <c r="Q5" s="8"/>
      <c r="R5" s="8"/>
    </row>
    <row r="6" spans="1:19" ht="34.5" customHeight="1" x14ac:dyDescent="0.25">
      <c r="A6" s="11" t="e">
        <v>#N/A</v>
      </c>
      <c r="B6" s="11" t="e">
        <v>#N/A</v>
      </c>
      <c r="C6" s="11" t="e">
        <v>#N/A</v>
      </c>
      <c r="D6" s="11" t="e">
        <v>#N/A</v>
      </c>
      <c r="E6" s="19"/>
      <c r="F6" s="19"/>
      <c r="G6" s="11"/>
      <c r="H6" s="11"/>
      <c r="I6" s="8"/>
      <c r="J6" s="8"/>
      <c r="K6" s="8"/>
      <c r="L6" s="8"/>
      <c r="M6" s="8"/>
      <c r="N6" s="4"/>
      <c r="O6" s="8"/>
      <c r="P6" s="8"/>
      <c r="Q6" s="8"/>
      <c r="R6" s="8"/>
    </row>
    <row r="7" spans="1:19" ht="34.5" customHeight="1" x14ac:dyDescent="0.25">
      <c r="A7" s="11" t="e">
        <v>#N/A</v>
      </c>
      <c r="B7" s="11" t="e">
        <v>#N/A</v>
      </c>
      <c r="C7" s="11" t="e">
        <v>#N/A</v>
      </c>
      <c r="D7" s="11" t="e">
        <v>#N/A</v>
      </c>
      <c r="E7" s="19"/>
      <c r="F7" s="19"/>
      <c r="G7" s="11"/>
      <c r="H7" s="11"/>
      <c r="I7" s="8"/>
      <c r="J7" s="8"/>
      <c r="K7" s="8"/>
      <c r="L7" s="8"/>
      <c r="M7" s="8"/>
      <c r="N7" s="4"/>
      <c r="O7" s="8"/>
      <c r="P7" s="8"/>
      <c r="Q7" s="8"/>
      <c r="R7" s="8"/>
    </row>
    <row r="8" spans="1:19" ht="34.5" customHeight="1" x14ac:dyDescent="0.25">
      <c r="A8" s="11" t="e">
        <v>#N/A</v>
      </c>
      <c r="B8" s="11" t="e">
        <v>#N/A</v>
      </c>
      <c r="C8" s="11" t="e">
        <v>#N/A</v>
      </c>
      <c r="D8" s="11" t="e">
        <v>#N/A</v>
      </c>
      <c r="E8" s="19"/>
      <c r="F8" s="19"/>
      <c r="G8" s="11"/>
      <c r="H8" s="11"/>
      <c r="I8" s="8"/>
      <c r="J8" s="8"/>
      <c r="K8" s="8"/>
      <c r="L8" s="8"/>
      <c r="M8" s="8"/>
      <c r="N8" s="4"/>
      <c r="O8" s="8"/>
      <c r="P8" s="8"/>
      <c r="Q8" s="8"/>
      <c r="R8" s="8"/>
    </row>
    <row r="9" spans="1:19" ht="34.5" customHeight="1" x14ac:dyDescent="0.25">
      <c r="A9" s="11" t="e">
        <v>#N/A</v>
      </c>
      <c r="B9" s="11" t="e">
        <v>#N/A</v>
      </c>
      <c r="C9" s="11" t="e">
        <v>#N/A</v>
      </c>
      <c r="D9" s="11" t="e">
        <v>#N/A</v>
      </c>
      <c r="E9" s="19"/>
      <c r="F9" s="19"/>
      <c r="G9" s="11"/>
      <c r="H9" s="11"/>
      <c r="I9" s="8"/>
      <c r="J9" s="8"/>
      <c r="K9" s="8"/>
      <c r="L9" s="8"/>
      <c r="M9" s="8"/>
      <c r="N9" s="4"/>
      <c r="O9" s="8"/>
      <c r="P9" s="8"/>
      <c r="Q9" s="8"/>
      <c r="R9" s="8"/>
    </row>
    <row r="10" spans="1:19" ht="34.5" customHeight="1" x14ac:dyDescent="0.25">
      <c r="A10" s="11" t="e">
        <v>#N/A</v>
      </c>
      <c r="B10" s="11" t="e">
        <v>#N/A</v>
      </c>
      <c r="C10" s="11" t="e">
        <v>#N/A</v>
      </c>
      <c r="D10" s="11" t="e">
        <v>#N/A</v>
      </c>
      <c r="E10" s="19"/>
      <c r="F10" s="19"/>
      <c r="G10" s="11"/>
      <c r="H10" s="11"/>
      <c r="I10" s="8"/>
      <c r="J10" s="8"/>
      <c r="K10" s="8"/>
      <c r="L10" s="8"/>
      <c r="M10" s="8"/>
      <c r="N10" s="4"/>
      <c r="O10" s="8"/>
      <c r="P10" s="8"/>
      <c r="Q10" s="8"/>
      <c r="R10" s="8"/>
    </row>
    <row r="11" spans="1:19" ht="34.5" customHeight="1" x14ac:dyDescent="0.25">
      <c r="A11" s="11" t="e">
        <v>#N/A</v>
      </c>
      <c r="B11" s="11" t="e">
        <v>#N/A</v>
      </c>
      <c r="C11" s="11" t="e">
        <v>#N/A</v>
      </c>
      <c r="D11" s="11" t="e">
        <v>#N/A</v>
      </c>
      <c r="E11" s="20"/>
      <c r="F11" s="20"/>
      <c r="G11" s="13"/>
      <c r="H11" s="11"/>
      <c r="I11" s="9"/>
      <c r="J11" s="9"/>
      <c r="K11" s="9"/>
    </row>
    <row r="12" spans="1:19" ht="34.5" customHeight="1" x14ac:dyDescent="0.25">
      <c r="A12" s="11" t="e">
        <v>#N/A</v>
      </c>
      <c r="B12" s="11" t="e">
        <v>#N/A</v>
      </c>
      <c r="C12" s="11" t="e">
        <v>#N/A</v>
      </c>
      <c r="D12" s="11" t="e">
        <v>#N/A</v>
      </c>
      <c r="E12" s="20"/>
      <c r="F12" s="19"/>
      <c r="G12" s="11"/>
      <c r="H12" s="11"/>
      <c r="I12" s="8"/>
      <c r="J12" s="8"/>
      <c r="K12" s="8"/>
    </row>
    <row r="13" spans="1:19" ht="34.5" customHeight="1" x14ac:dyDescent="0.25">
      <c r="A13" s="11" t="e">
        <v>#N/A</v>
      </c>
      <c r="B13" s="11" t="e">
        <v>#N/A</v>
      </c>
      <c r="C13" s="11"/>
      <c r="D13" s="11"/>
      <c r="E13" s="12"/>
      <c r="F13" s="11"/>
      <c r="G13" s="11"/>
      <c r="H13" s="11"/>
      <c r="I13" s="8"/>
      <c r="J13" s="8"/>
      <c r="K13" s="8"/>
      <c r="S13" s="6"/>
    </row>
    <row r="14" spans="1:19" ht="34.5" customHeight="1" x14ac:dyDescent="0.25">
      <c r="A14" s="11" t="e">
        <v>#N/A</v>
      </c>
      <c r="B14" s="11" t="e">
        <v>#N/A</v>
      </c>
      <c r="C14" s="12"/>
      <c r="D14" s="12"/>
      <c r="E14" s="12"/>
      <c r="F14" s="11"/>
      <c r="G14" s="11"/>
      <c r="H14" s="11"/>
      <c r="I14" s="8"/>
      <c r="J14" s="8"/>
      <c r="K14" s="8"/>
    </row>
    <row r="15" spans="1:19" ht="34.5" customHeight="1" x14ac:dyDescent="0.25">
      <c r="A15" s="11" t="e">
        <v>#N/A</v>
      </c>
      <c r="B15" s="11" t="e">
        <v>#N/A</v>
      </c>
      <c r="C15" s="12"/>
      <c r="D15" s="12"/>
      <c r="E15" s="12"/>
      <c r="F15" s="11"/>
      <c r="G15" s="11"/>
      <c r="H15" s="11"/>
      <c r="I15" s="8"/>
      <c r="J15" s="8"/>
      <c r="K15" s="8"/>
    </row>
    <row r="16" spans="1:19" ht="34.5" customHeight="1" x14ac:dyDescent="0.25">
      <c r="A16" s="12" t="e">
        <v>#N/A</v>
      </c>
      <c r="B16" s="12" t="e">
        <v>#N/A</v>
      </c>
      <c r="C16" s="12"/>
      <c r="D16" s="12"/>
      <c r="E16" s="12"/>
      <c r="F16" s="12"/>
      <c r="G16" s="12"/>
      <c r="H16" s="11"/>
    </row>
    <row r="17" spans="1:14" ht="34.5" customHeight="1" x14ac:dyDescent="0.25">
      <c r="A17" s="11" t="e">
        <v>#N/A</v>
      </c>
      <c r="B17" s="11" t="e">
        <v>#N/A</v>
      </c>
      <c r="C17" s="11"/>
      <c r="D17" s="11"/>
      <c r="E17" s="11"/>
      <c r="F17" s="11"/>
      <c r="G17" s="11"/>
      <c r="H17" s="11"/>
      <c r="I17" s="8"/>
      <c r="J17" s="8"/>
      <c r="K17" s="8"/>
      <c r="L17" s="8"/>
      <c r="M17" s="8"/>
      <c r="N17" s="8"/>
    </row>
    <row r="18" spans="1:14" ht="34.5" customHeight="1" x14ac:dyDescent="0.25">
      <c r="A18" s="11" t="e">
        <v>#N/A</v>
      </c>
      <c r="B18" s="11" t="e">
        <v>#N/A</v>
      </c>
      <c r="C18" s="12"/>
      <c r="D18" s="12"/>
      <c r="E18" s="12"/>
      <c r="F18" s="11"/>
      <c r="G18" s="11"/>
      <c r="H18" s="11"/>
      <c r="I18" s="8"/>
      <c r="J18" s="8"/>
      <c r="K18" s="8"/>
    </row>
    <row r="19" spans="1:14" ht="34.5" customHeight="1" x14ac:dyDescent="0.25">
      <c r="A19" s="11"/>
      <c r="B19" s="11"/>
      <c r="C19" s="12"/>
      <c r="D19" s="12"/>
      <c r="E19" s="12"/>
      <c r="F19" s="11"/>
      <c r="G19" s="11"/>
      <c r="H19" s="11"/>
      <c r="I19" s="8"/>
      <c r="J19" s="8"/>
      <c r="K19" s="8"/>
    </row>
    <row r="20" spans="1:14" ht="34.5" customHeight="1" x14ac:dyDescent="0.25">
      <c r="A20" s="11"/>
      <c r="B20" s="11"/>
      <c r="C20" s="12"/>
      <c r="D20" s="12"/>
      <c r="E20" s="12"/>
      <c r="F20" s="11"/>
      <c r="G20" s="11"/>
      <c r="H20" s="11"/>
      <c r="I20" s="8"/>
      <c r="J20" s="8"/>
      <c r="K20" s="8"/>
    </row>
    <row r="21" spans="1:14" ht="34.5" customHeight="1" x14ac:dyDescent="0.25">
      <c r="A21" s="11"/>
      <c r="B21" s="11"/>
      <c r="C21" s="12"/>
      <c r="D21" s="12"/>
      <c r="E21" s="12"/>
      <c r="F21" s="11"/>
      <c r="G21" s="11"/>
      <c r="H21" s="11"/>
      <c r="I21" s="8"/>
      <c r="J21" s="8"/>
      <c r="K21" s="8"/>
    </row>
    <row r="22" spans="1:14" ht="34.5" customHeight="1" x14ac:dyDescent="0.25">
      <c r="A22" s="11"/>
      <c r="B22" s="11"/>
      <c r="C22" s="12"/>
      <c r="D22" s="12"/>
      <c r="E22" s="12"/>
      <c r="F22" s="11"/>
      <c r="G22" s="11"/>
      <c r="H22" s="11"/>
      <c r="I22" s="8"/>
      <c r="J22" s="8"/>
      <c r="K22" s="8"/>
    </row>
    <row r="23" spans="1:14" ht="34.5" customHeight="1" x14ac:dyDescent="0.25">
      <c r="A23" s="12"/>
      <c r="B23" s="12"/>
      <c r="C23" s="12"/>
      <c r="D23" s="12"/>
      <c r="E23" s="12"/>
      <c r="F23" s="12"/>
      <c r="G23" s="12"/>
      <c r="H23" s="11"/>
    </row>
    <row r="24" spans="1:14" ht="34.5" customHeight="1" x14ac:dyDescent="0.25">
      <c r="A24" s="12"/>
      <c r="B24" s="12"/>
      <c r="C24" s="12"/>
      <c r="D24" s="12"/>
      <c r="E24" s="12"/>
      <c r="F24" s="12"/>
      <c r="G24" s="12"/>
      <c r="H24" s="11"/>
    </row>
    <row r="25" spans="1:14" ht="34.5" customHeight="1" x14ac:dyDescent="0.25">
      <c r="A25" s="12"/>
      <c r="B25" s="12"/>
      <c r="C25" s="12"/>
      <c r="D25" s="12"/>
      <c r="E25" s="12"/>
      <c r="F25" s="12"/>
      <c r="G25" s="12"/>
      <c r="H25" s="11"/>
    </row>
    <row r="26" spans="1:14" x14ac:dyDescent="0.25">
      <c r="A26" s="12"/>
      <c r="B26" s="12"/>
      <c r="C26" s="12"/>
      <c r="D26" s="12"/>
      <c r="E26" s="12"/>
      <c r="F26" s="12"/>
      <c r="G26" s="12"/>
      <c r="H26" s="11"/>
    </row>
    <row r="27" spans="1:14" x14ac:dyDescent="0.25">
      <c r="A27" s="12"/>
      <c r="B27" s="12"/>
      <c r="C27" s="12"/>
      <c r="D27" s="12"/>
      <c r="E27" s="12"/>
      <c r="F27" s="12"/>
      <c r="G27" s="12"/>
      <c r="H27" s="11"/>
    </row>
    <row r="28" spans="1:14" x14ac:dyDescent="0.25">
      <c r="A28" s="12"/>
      <c r="B28" s="12"/>
      <c r="C28" s="12"/>
      <c r="D28" s="12"/>
      <c r="E28" s="12"/>
      <c r="F28" s="12"/>
      <c r="G28" s="12"/>
      <c r="H28" s="11"/>
    </row>
    <row r="29" spans="1:14" x14ac:dyDescent="0.25">
      <c r="A29" s="12"/>
      <c r="B29" s="12"/>
      <c r="C29" s="12"/>
      <c r="D29" s="12"/>
      <c r="E29" s="12"/>
      <c r="F29" s="12"/>
      <c r="G29" s="12"/>
      <c r="H29" s="11"/>
    </row>
    <row r="30" spans="1:14" x14ac:dyDescent="0.25">
      <c r="A30" s="12"/>
      <c r="B30" s="12"/>
      <c r="C30" s="12"/>
      <c r="D30" s="12"/>
      <c r="E30" s="12"/>
      <c r="F30" s="12"/>
      <c r="G30" s="12"/>
      <c r="H30" s="11"/>
    </row>
    <row r="31" spans="1:14" x14ac:dyDescent="0.25">
      <c r="A31" s="12"/>
      <c r="B31" s="12"/>
      <c r="C31" s="12"/>
      <c r="D31" s="12"/>
      <c r="E31" s="12"/>
      <c r="F31" s="12"/>
      <c r="G31" s="12"/>
      <c r="H31"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DADOS</vt:lpstr>
      <vt:lpstr>ANALISE</vt:lpstr>
      <vt:lpstr>TEXTOS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PEDRO HENRIQUE VASCONCELOS BERTO</dc:creator>
  <cp:lastModifiedBy>PEDRO HENRIQUE VASCONCELOS BERTO</cp:lastModifiedBy>
  <dcterms:created xsi:type="dcterms:W3CDTF">2024-07-26T14:39:27Z</dcterms:created>
  <dcterms:modified xsi:type="dcterms:W3CDTF">2024-11-07T14:24:06Z</dcterms:modified>
</cp:coreProperties>
</file>